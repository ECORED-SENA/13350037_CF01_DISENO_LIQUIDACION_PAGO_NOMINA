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OneDrive\Documents\SENA\GARZON\EXPERTO TEMATICO\DISEÑO, LIQUIDACION Y PAGO DE NOMINA\ANEXOS\"/>
    </mc:Choice>
  </mc:AlternateContent>
  <xr:revisionPtr revIDLastSave="0" documentId="8_{FF9AD805-BBA9-4998-B96F-A967425088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doraSalarial" sheetId="1" r:id="rId1"/>
    <sheet name="HistorialSalarioMinimo" sheetId="2" r:id="rId2"/>
    <sheet name="TablaP_PS_SS" sheetId="3" r:id="rId3"/>
  </sheets>
  <definedNames>
    <definedName name="RiesgosLaborales">TablaP_PS_SS!$B$5:$C$9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Ep6VNyV5clqeUvbRj0+ZN1BSeSF4pa+x6duSNHxUqbc="/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5" i="1"/>
  <c r="F14" i="1" s="1"/>
  <c r="C35" i="1" l="1"/>
  <c r="C34" i="1"/>
  <c r="F28" i="1"/>
  <c r="F27" i="1"/>
  <c r="C32" i="1"/>
  <c r="F26" i="1"/>
  <c r="D20" i="1"/>
  <c r="F19" i="1"/>
  <c r="D19" i="1"/>
  <c r="F18" i="1"/>
  <c r="F21" i="1" s="1"/>
  <c r="F22" i="1" s="1"/>
  <c r="D18" i="1"/>
  <c r="D21" i="1" s="1"/>
  <c r="F38" i="1" s="1"/>
  <c r="F29" i="1" l="1"/>
  <c r="C33" i="1"/>
  <c r="C36" i="1" s="1"/>
  <c r="F37" i="1" s="1"/>
  <c r="F39" i="1" s="1"/>
  <c r="F40" i="1" s="1"/>
</calcChain>
</file>

<file path=xl/sharedStrings.xml><?xml version="1.0" encoding="utf-8"?>
<sst xmlns="http://schemas.openxmlformats.org/spreadsheetml/2006/main" count="66" uniqueCount="59">
  <si>
    <t>Año</t>
  </si>
  <si>
    <t>Salario mínimo mensual</t>
  </si>
  <si>
    <t>Auxilio de Transporte</t>
  </si>
  <si>
    <t>Variación del salario mínimo</t>
  </si>
  <si>
    <t>Cierre Inflación</t>
  </si>
  <si>
    <t xml:space="preserve">Calculadora Salarial </t>
  </si>
  <si>
    <t>UVT</t>
  </si>
  <si>
    <t>Seguridad Social</t>
  </si>
  <si>
    <t>Empleador</t>
  </si>
  <si>
    <t>Empleado</t>
  </si>
  <si>
    <t>Salud</t>
  </si>
  <si>
    <t>Pensión</t>
  </si>
  <si>
    <t xml:space="preserve">Nombre del Funcionario : xxxxx  xxxxx  </t>
  </si>
  <si>
    <t>Riesgos Laborales</t>
  </si>
  <si>
    <t>Clase 1</t>
  </si>
  <si>
    <t>Clase 2</t>
  </si>
  <si>
    <t>Aspectos que se consideran en esta calculadora:</t>
  </si>
  <si>
    <t>Clase 3</t>
  </si>
  <si>
    <t>Clase 4</t>
  </si>
  <si>
    <t>Clase 5</t>
  </si>
  <si>
    <t>Prestaciones Sociales</t>
  </si>
  <si>
    <t>El número de horas sobre las que se divide el mes es 210, considerando que la jornada laboral ahora es de 42 horas</t>
  </si>
  <si>
    <t>Salario laboral</t>
  </si>
  <si>
    <t>Recargo Nocturno</t>
  </si>
  <si>
    <t>Los porcentajes de recargos estan actualizados a la nueva normatividad Julio 2026 - Se debe ajustar para Julio2027 el recargo dominical y festivo.</t>
  </si>
  <si>
    <t>Recargo Dominical o Festivos Diurno</t>
  </si>
  <si>
    <t>Recargo Dominical o Festivos Nocturno</t>
  </si>
  <si>
    <t>Horas Extras Diurnas</t>
  </si>
  <si>
    <t>El Auxilio de Transporte es Base Salarial sólo para prestaciones sociales (Excepto vacaciones), no  aplica para seguridad social, ni parafiscales.</t>
  </si>
  <si>
    <t>Horas Extras Nocturnas</t>
  </si>
  <si>
    <t>Horas Extras Dominical o Festivo Diurno</t>
  </si>
  <si>
    <t>Horas Extras Dominical o Festivo Nocturno</t>
  </si>
  <si>
    <t>Otros Conceptos Salariales (comisiones, bonos, etc)</t>
  </si>
  <si>
    <t>Importante: Esta calculadora salarial es una herramienta para estimar costos laborales, no cumple función de aplicativo de nómina, donde se consideran otros aspectos como retenciones.</t>
  </si>
  <si>
    <t>Total Devengado por el Empleado</t>
  </si>
  <si>
    <t>EMPLEADOR</t>
  </si>
  <si>
    <t>EMPLEADO</t>
  </si>
  <si>
    <t>%</t>
  </si>
  <si>
    <t>Valor</t>
  </si>
  <si>
    <t xml:space="preserve">Aporte en salud </t>
  </si>
  <si>
    <t>Aporte en pensión</t>
  </si>
  <si>
    <t>ARL</t>
  </si>
  <si>
    <t>Pagos por Prestaciones Sociales</t>
  </si>
  <si>
    <t>Neto a recibir el Trabajador</t>
  </si>
  <si>
    <t>Parafiscales</t>
  </si>
  <si>
    <t>ICBF</t>
  </si>
  <si>
    <t>SENA</t>
  </si>
  <si>
    <t>Caja de Compensación Familiar</t>
  </si>
  <si>
    <t>Pagos Seguridad Social</t>
  </si>
  <si>
    <t>Prestaciones Sociales - Provisión Mensual</t>
  </si>
  <si>
    <t>Cesantias -</t>
  </si>
  <si>
    <t>Interesesa las cesantias</t>
  </si>
  <si>
    <t xml:space="preserve">Prima Legal </t>
  </si>
  <si>
    <t>Vacaciones</t>
  </si>
  <si>
    <t>Total Provisión Mensual para Pago de Prestaciones Sociales</t>
  </si>
  <si>
    <t>Provisión Mensua (Prestaciones Sociales)l</t>
  </si>
  <si>
    <t>Pago Mensual (Salario+ Aux Transporte+Parafiscales+Prestaciones Sociales)</t>
  </si>
  <si>
    <t>Total Costo *MENSUAL*</t>
  </si>
  <si>
    <t>TOTAL COSTO *ANUAL*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</si>
</sst>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_-;\-&quot;$&quot;* #,##0_-;_-&quot;$&quot;* &quot;-&quot;_-;_-@"/>
    <numFmt numFmtId="165" formatCode="0.0000%"/>
    <numFmt numFmtId="166" formatCode="[$$-240A]\ #,##0"/>
    <numFmt numFmtId="167" formatCode="_-* #,##0_-;\-* #,##0_-;_-* &quot;-&quot;_-;_-@"/>
    <numFmt numFmtId="168" formatCode="[$$-240A]\ #,##0.00"/>
  </numFmts>
  <fonts count="16" x14ac:knownFonts="1">
    <font>
      <sz val="12"/>
      <color theme="1"/>
      <name val="Calibri"/>
      <scheme val="minor"/>
    </font>
    <font>
      <b/>
      <sz val="10"/>
      <color rgb="FF1B1B1B"/>
      <name val="Calibri"/>
    </font>
    <font>
      <sz val="18"/>
      <color theme="1"/>
      <name val="Arial"/>
    </font>
    <font>
      <b/>
      <sz val="10"/>
      <color theme="1"/>
      <name val="Calibri"/>
    </font>
    <font>
      <sz val="12"/>
      <name val="Calibri"/>
    </font>
    <font>
      <b/>
      <sz val="12"/>
      <color theme="1"/>
      <name val="Calibri"/>
    </font>
    <font>
      <sz val="10"/>
      <color theme="1"/>
      <name val="Arial"/>
    </font>
    <font>
      <sz val="12"/>
      <color theme="1"/>
      <name val="Calibri"/>
    </font>
    <font>
      <sz val="10"/>
      <color theme="1"/>
      <name val="Calibri"/>
    </font>
    <font>
      <sz val="10"/>
      <color rgb="FF1B1B1B"/>
      <name val="Calibri"/>
    </font>
    <font>
      <b/>
      <sz val="10"/>
      <color theme="1"/>
      <name val="Arial"/>
    </font>
    <font>
      <sz val="10"/>
      <color rgb="FF000000"/>
      <name val="Arial"/>
    </font>
    <font>
      <b/>
      <sz val="10"/>
      <color rgb="FF44546A"/>
      <name val="Arial"/>
    </font>
    <font>
      <b/>
      <sz val="10"/>
      <color rgb="FF38761D"/>
      <name val="Arial"/>
    </font>
    <font>
      <sz val="10"/>
      <color theme="0"/>
      <name val="Arial"/>
    </font>
    <font>
      <b/>
      <sz val="10"/>
      <color rgb="FFFF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59">
    <border>
      <left/>
      <right/>
      <top/>
      <bottom/>
      <diagonal/>
    </border>
    <border>
      <left/>
      <right/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C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 style="thin">
        <color rgb="FFC00000"/>
      </top>
      <bottom style="hair">
        <color rgb="FF000000"/>
      </bottom>
      <diagonal/>
    </border>
    <border>
      <left/>
      <right/>
      <top style="thin">
        <color rgb="FFC00000"/>
      </top>
      <bottom style="hair">
        <color rgb="FF000000"/>
      </bottom>
      <diagonal/>
    </border>
    <border>
      <left/>
      <right style="thin">
        <color rgb="FFC00000"/>
      </right>
      <top style="thin">
        <color rgb="FFC00000"/>
      </top>
      <bottom style="hair">
        <color rgb="FF000000"/>
      </bottom>
      <diagonal/>
    </border>
    <border>
      <left style="thin">
        <color rgb="FFC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C00000"/>
      </right>
      <top style="hair">
        <color rgb="FF000000"/>
      </top>
      <bottom style="hair">
        <color rgb="FF000000"/>
      </bottom>
      <diagonal/>
    </border>
    <border>
      <left style="thin">
        <color rgb="FFC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C00000"/>
      </right>
      <top style="hair">
        <color rgb="FF000000"/>
      </top>
      <bottom style="hair">
        <color rgb="FF000000"/>
      </bottom>
      <diagonal/>
    </border>
    <border>
      <left style="thin">
        <color rgb="FFC00000"/>
      </left>
      <right/>
      <top style="hair">
        <color rgb="FF000000"/>
      </top>
      <bottom style="thin">
        <color rgb="FFC00000"/>
      </bottom>
      <diagonal/>
    </border>
    <border>
      <left/>
      <right style="hair">
        <color rgb="FF000000"/>
      </right>
      <top style="hair">
        <color rgb="FF000000"/>
      </top>
      <bottom style="thin">
        <color rgb="FFC00000"/>
      </bottom>
      <diagonal/>
    </border>
    <border>
      <left style="hair">
        <color rgb="FF000000"/>
      </left>
      <right/>
      <top style="hair">
        <color rgb="FF000000"/>
      </top>
      <bottom style="thin">
        <color rgb="FFC00000"/>
      </bottom>
      <diagonal/>
    </border>
    <border>
      <left style="thin">
        <color rgb="FFC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C00000"/>
      </right>
      <top/>
      <bottom style="hair">
        <color rgb="FF000000"/>
      </bottom>
      <diagonal/>
    </border>
    <border>
      <left style="thin">
        <color rgb="FFC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C00000"/>
      </right>
      <top style="hair">
        <color rgb="FF000000"/>
      </top>
      <bottom style="hair">
        <color rgb="FF000000"/>
      </bottom>
      <diagonal/>
    </border>
    <border>
      <left style="thin">
        <color rgb="FFC00000"/>
      </left>
      <right/>
      <top style="thin">
        <color rgb="FFC00000"/>
      </top>
      <bottom style="thin">
        <color rgb="FF000000"/>
      </bottom>
      <diagonal/>
    </border>
    <border>
      <left/>
      <right/>
      <top style="thin">
        <color rgb="FFC00000"/>
      </top>
      <bottom style="thin">
        <color rgb="FF000000"/>
      </bottom>
      <diagonal/>
    </border>
    <border>
      <left/>
      <right style="thin">
        <color rgb="FFC00000"/>
      </right>
      <top style="thin">
        <color rgb="FFC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 style="thin">
        <color rgb="FFC00000"/>
      </right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C00000"/>
      </right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C00000"/>
      </bottom>
      <diagonal/>
    </border>
    <border>
      <left/>
      <right style="thin">
        <color rgb="FFC00000"/>
      </right>
      <top style="hair">
        <color rgb="FF000000"/>
      </top>
      <bottom style="thin">
        <color rgb="FFC00000"/>
      </bottom>
      <diagonal/>
    </border>
    <border>
      <left style="hair">
        <color rgb="FF000000"/>
      </left>
      <right style="thin">
        <color rgb="FFC00000"/>
      </right>
      <top style="hair">
        <color rgb="FF000000"/>
      </top>
      <bottom style="thin">
        <color rgb="FFC00000"/>
      </bottom>
      <diagonal/>
    </border>
  </borders>
  <cellStyleXfs count="1">
    <xf numFmtId="0" fontId="0" fillId="0" borderId="0"/>
  </cellStyleXfs>
  <cellXfs count="113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5" fillId="0" borderId="0" xfId="0" applyFont="1"/>
    <xf numFmtId="164" fontId="6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center"/>
    </xf>
    <xf numFmtId="10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4" fontId="9" fillId="0" borderId="0" xfId="0" applyNumberFormat="1" applyFont="1"/>
    <xf numFmtId="9" fontId="7" fillId="0" borderId="0" xfId="0" applyNumberFormat="1" applyFont="1"/>
    <xf numFmtId="10" fontId="9" fillId="0" borderId="0" xfId="0" applyNumberFormat="1" applyFont="1"/>
    <xf numFmtId="0" fontId="7" fillId="0" borderId="0" xfId="0" applyFont="1"/>
    <xf numFmtId="0" fontId="8" fillId="0" borderId="10" xfId="0" applyFont="1" applyBorder="1"/>
    <xf numFmtId="0" fontId="10" fillId="0" borderId="10" xfId="0" applyFont="1" applyBorder="1" applyAlignment="1">
      <alignment horizontal="left" vertical="center"/>
    </xf>
    <xf numFmtId="166" fontId="6" fillId="4" borderId="10" xfId="0" applyNumberFormat="1" applyFont="1" applyFill="1" applyBorder="1" applyAlignment="1">
      <alignment horizontal="right" vertical="center"/>
    </xf>
    <xf numFmtId="166" fontId="6" fillId="5" borderId="10" xfId="0" applyNumberFormat="1" applyFont="1" applyFill="1" applyBorder="1" applyAlignment="1">
      <alignment horizontal="right" vertical="center"/>
    </xf>
    <xf numFmtId="9" fontId="8" fillId="6" borderId="10" xfId="0" applyNumberFormat="1" applyFont="1" applyFill="1" applyBorder="1" applyAlignment="1"/>
    <xf numFmtId="0" fontId="8" fillId="4" borderId="10" xfId="0" applyFont="1" applyFill="1" applyBorder="1" applyAlignment="1"/>
    <xf numFmtId="0" fontId="6" fillId="6" borderId="10" xfId="0" applyFont="1" applyFill="1" applyBorder="1" applyAlignment="1">
      <alignment horizontal="left" vertical="center"/>
    </xf>
    <xf numFmtId="166" fontId="6" fillId="0" borderId="0" xfId="0" applyNumberFormat="1" applyFont="1"/>
    <xf numFmtId="9" fontId="8" fillId="7" borderId="10" xfId="0" applyNumberFormat="1" applyFont="1" applyFill="1" applyBorder="1" applyAlignment="1"/>
    <xf numFmtId="0" fontId="6" fillId="0" borderId="13" xfId="0" applyFont="1" applyBorder="1" applyAlignment="1">
      <alignment horizontal="left" vertical="center"/>
    </xf>
    <xf numFmtId="4" fontId="9" fillId="0" borderId="0" xfId="0" applyNumberFormat="1" applyFont="1" applyAlignment="1"/>
    <xf numFmtId="166" fontId="6" fillId="4" borderId="14" xfId="0" applyNumberFormat="1" applyFont="1" applyFill="1" applyBorder="1" applyAlignment="1">
      <alignment horizontal="right" vertical="center"/>
    </xf>
    <xf numFmtId="0" fontId="9" fillId="0" borderId="0" xfId="0" applyFont="1"/>
    <xf numFmtId="167" fontId="8" fillId="0" borderId="0" xfId="0" applyNumberFormat="1" applyFont="1"/>
    <xf numFmtId="166" fontId="10" fillId="8" borderId="17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 wrapText="1"/>
    </xf>
    <xf numFmtId="10" fontId="10" fillId="0" borderId="10" xfId="0" applyNumberFormat="1" applyFont="1" applyBorder="1" applyAlignment="1">
      <alignment horizontal="right" vertical="center"/>
    </xf>
    <xf numFmtId="166" fontId="6" fillId="0" borderId="26" xfId="0" applyNumberFormat="1" applyFont="1" applyBorder="1" applyAlignment="1">
      <alignment horizontal="right" vertical="center"/>
    </xf>
    <xf numFmtId="9" fontId="10" fillId="0" borderId="27" xfId="0" applyNumberFormat="1" applyFont="1" applyBorder="1" applyAlignment="1">
      <alignment horizontal="right" vertical="center"/>
    </xf>
    <xf numFmtId="166" fontId="6" fillId="5" borderId="28" xfId="0" applyNumberFormat="1" applyFont="1" applyFill="1" applyBorder="1" applyAlignment="1">
      <alignment horizontal="right" vertical="center"/>
    </xf>
    <xf numFmtId="9" fontId="10" fillId="0" borderId="10" xfId="0" applyNumberFormat="1" applyFont="1" applyBorder="1" applyAlignment="1">
      <alignment horizontal="right" vertical="center"/>
    </xf>
    <xf numFmtId="0" fontId="10" fillId="0" borderId="27" xfId="0" applyFont="1" applyBorder="1" applyAlignment="1">
      <alignment vertical="center"/>
    </xf>
    <xf numFmtId="166" fontId="6" fillId="0" borderId="31" xfId="0" applyNumberFormat="1" applyFont="1" applyBorder="1" applyAlignment="1">
      <alignment horizontal="right" vertical="center"/>
    </xf>
    <xf numFmtId="0" fontId="10" fillId="0" borderId="29" xfId="0" applyFont="1" applyBorder="1" applyAlignment="1">
      <alignment vertical="center"/>
    </xf>
    <xf numFmtId="9" fontId="10" fillId="0" borderId="27" xfId="0" applyNumberFormat="1" applyFont="1" applyBorder="1" applyAlignment="1">
      <alignment horizontal="right" vertical="center"/>
    </xf>
    <xf numFmtId="9" fontId="10" fillId="0" borderId="27" xfId="0" applyNumberFormat="1" applyFont="1" applyBorder="1" applyAlignment="1">
      <alignment vertical="center"/>
    </xf>
    <xf numFmtId="0" fontId="10" fillId="9" borderId="37" xfId="0" applyFont="1" applyFill="1" applyBorder="1" applyAlignment="1">
      <alignment horizontal="center" vertical="center"/>
    </xf>
    <xf numFmtId="0" fontId="10" fillId="9" borderId="38" xfId="0" applyFont="1" applyFill="1" applyBorder="1" applyAlignment="1">
      <alignment horizontal="center" vertical="center"/>
    </xf>
    <xf numFmtId="0" fontId="10" fillId="9" borderId="38" xfId="0" applyFont="1" applyFill="1" applyBorder="1" applyAlignment="1">
      <alignment horizontal="center" vertical="center"/>
    </xf>
    <xf numFmtId="0" fontId="10" fillId="9" borderId="39" xfId="0" applyFont="1" applyFill="1" applyBorder="1" applyAlignment="1">
      <alignment horizontal="center" vertical="center"/>
    </xf>
    <xf numFmtId="0" fontId="10" fillId="9" borderId="41" xfId="0" applyFont="1" applyFill="1" applyBorder="1" applyAlignment="1">
      <alignment horizontal="center" vertical="center"/>
    </xf>
    <xf numFmtId="0" fontId="10" fillId="9" borderId="42" xfId="0" applyFont="1" applyFill="1" applyBorder="1" applyAlignment="1">
      <alignment horizontal="center" vertical="center"/>
    </xf>
    <xf numFmtId="166" fontId="6" fillId="5" borderId="43" xfId="0" applyNumberFormat="1" applyFont="1" applyFill="1" applyBorder="1" applyAlignment="1">
      <alignment horizontal="right" vertical="center"/>
    </xf>
    <xf numFmtId="166" fontId="14" fillId="0" borderId="44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8" fillId="0" borderId="46" xfId="0" applyFont="1" applyBorder="1"/>
    <xf numFmtId="0" fontId="6" fillId="0" borderId="47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166" fontId="6" fillId="0" borderId="48" xfId="0" applyNumberFormat="1" applyFont="1" applyBorder="1" applyAlignment="1">
      <alignment vertical="center"/>
    </xf>
    <xf numFmtId="0" fontId="11" fillId="0" borderId="0" xfId="0" applyFont="1" applyAlignment="1">
      <alignment horizontal="left"/>
    </xf>
    <xf numFmtId="164" fontId="11" fillId="0" borderId="0" xfId="0" applyNumberFormat="1" applyFont="1"/>
    <xf numFmtId="0" fontId="11" fillId="0" borderId="0" xfId="0" applyFont="1"/>
    <xf numFmtId="0" fontId="8" fillId="0" borderId="47" xfId="0" applyFont="1" applyBorder="1"/>
    <xf numFmtId="0" fontId="8" fillId="0" borderId="48" xfId="0" applyFont="1" applyBorder="1"/>
    <xf numFmtId="0" fontId="6" fillId="0" borderId="47" xfId="0" applyFont="1" applyBorder="1" applyAlignment="1">
      <alignment vertical="center"/>
    </xf>
    <xf numFmtId="166" fontId="6" fillId="0" borderId="48" xfId="0" applyNumberFormat="1" applyFont="1" applyBorder="1" applyAlignment="1">
      <alignment horizontal="right" vertical="center"/>
    </xf>
    <xf numFmtId="166" fontId="10" fillId="5" borderId="41" xfId="0" applyNumberFormat="1" applyFont="1" applyFill="1" applyBorder="1" applyAlignment="1">
      <alignment horizontal="right" vertical="center"/>
    </xf>
    <xf numFmtId="0" fontId="6" fillId="0" borderId="49" xfId="0" applyFont="1" applyBorder="1" applyAlignment="1">
      <alignment vertical="center"/>
    </xf>
    <xf numFmtId="0" fontId="8" fillId="0" borderId="50" xfId="0" applyFont="1" applyBorder="1"/>
    <xf numFmtId="166" fontId="6" fillId="0" borderId="51" xfId="0" applyNumberFormat="1" applyFont="1" applyBorder="1" applyAlignment="1">
      <alignment horizontal="right" vertical="center"/>
    </xf>
    <xf numFmtId="166" fontId="6" fillId="0" borderId="55" xfId="0" applyNumberFormat="1" applyFont="1" applyBorder="1" applyAlignment="1">
      <alignment horizontal="right" vertical="center"/>
    </xf>
    <xf numFmtId="166" fontId="6" fillId="12" borderId="26" xfId="0" applyNumberFormat="1" applyFont="1" applyFill="1" applyBorder="1" applyAlignment="1">
      <alignment horizontal="right" vertical="center"/>
    </xf>
    <xf numFmtId="168" fontId="15" fillId="0" borderId="58" xfId="0" applyNumberFormat="1" applyFont="1" applyBorder="1" applyAlignment="1">
      <alignment horizontal="right" vertical="center"/>
    </xf>
    <xf numFmtId="0" fontId="8" fillId="0" borderId="0" xfId="0" applyFont="1" applyAlignment="1">
      <alignment wrapText="1"/>
    </xf>
    <xf numFmtId="0" fontId="0" fillId="0" borderId="0" xfId="0" applyFont="1" applyAlignment="1"/>
    <xf numFmtId="0" fontId="10" fillId="7" borderId="7" xfId="0" applyFont="1" applyFill="1" applyBorder="1" applyAlignment="1">
      <alignment horizontal="left" vertical="center"/>
    </xf>
    <xf numFmtId="0" fontId="4" fillId="0" borderId="9" xfId="0" applyFont="1" applyBorder="1"/>
    <xf numFmtId="0" fontId="10" fillId="0" borderId="11" xfId="0" applyFont="1" applyBorder="1" applyAlignment="1">
      <alignment horizontal="left" vertical="center"/>
    </xf>
    <xf numFmtId="0" fontId="4" fillId="0" borderId="12" xfId="0" applyFont="1" applyBorder="1"/>
    <xf numFmtId="0" fontId="10" fillId="0" borderId="15" xfId="0" applyFont="1" applyBorder="1" applyAlignment="1">
      <alignment horizontal="right" vertical="center"/>
    </xf>
    <xf numFmtId="0" fontId="4" fillId="0" borderId="16" xfId="0" applyFont="1" applyBorder="1"/>
    <xf numFmtId="0" fontId="10" fillId="9" borderId="18" xfId="0" applyFont="1" applyFill="1" applyBorder="1" applyAlignment="1">
      <alignment horizontal="center" vertical="center"/>
    </xf>
    <xf numFmtId="0" fontId="4" fillId="0" borderId="19" xfId="0" applyFont="1" applyBorder="1"/>
    <xf numFmtId="0" fontId="4" fillId="0" borderId="20" xfId="0" applyFont="1" applyBorder="1"/>
    <xf numFmtId="0" fontId="12" fillId="11" borderId="21" xfId="0" applyFont="1" applyFill="1" applyBorder="1" applyAlignment="1">
      <alignment horizontal="center" vertical="center"/>
    </xf>
    <xf numFmtId="0" fontId="4" fillId="0" borderId="23" xfId="0" applyFont="1" applyBorder="1"/>
    <xf numFmtId="0" fontId="12" fillId="10" borderId="21" xfId="0" applyFont="1" applyFill="1" applyBorder="1" applyAlignment="1">
      <alignment horizontal="center" vertical="center"/>
    </xf>
    <xf numFmtId="0" fontId="4" fillId="0" borderId="22" xfId="0" applyFont="1" applyBorder="1"/>
    <xf numFmtId="0" fontId="10" fillId="0" borderId="24" xfId="0" applyFont="1" applyBorder="1" applyAlignment="1">
      <alignment horizontal="left" vertical="center"/>
    </xf>
    <xf numFmtId="0" fontId="4" fillId="0" borderId="25" xfId="0" applyFont="1" applyBorder="1"/>
    <xf numFmtId="0" fontId="10" fillId="0" borderId="29" xfId="0" applyFont="1" applyBorder="1" applyAlignment="1">
      <alignment horizontal="right" vertical="center"/>
    </xf>
    <xf numFmtId="0" fontId="4" fillId="0" borderId="30" xfId="0" applyFont="1" applyBorder="1"/>
    <xf numFmtId="0" fontId="10" fillId="3" borderId="15" xfId="0" applyFont="1" applyFill="1" applyBorder="1" applyAlignment="1">
      <alignment horizontal="right" vertical="center"/>
    </xf>
    <xf numFmtId="0" fontId="12" fillId="10" borderId="32" xfId="0" applyFont="1" applyFill="1" applyBorder="1" applyAlignment="1">
      <alignment horizontal="center" vertical="center"/>
    </xf>
    <xf numFmtId="0" fontId="4" fillId="0" borderId="33" xfId="0" applyFont="1" applyBorder="1"/>
    <xf numFmtId="0" fontId="4" fillId="0" borderId="34" xfId="0" applyFont="1" applyBorder="1"/>
    <xf numFmtId="0" fontId="10" fillId="0" borderId="35" xfId="0" applyFont="1" applyBorder="1" applyAlignment="1">
      <alignment horizontal="left" vertical="center"/>
    </xf>
    <xf numFmtId="0" fontId="4" fillId="0" borderId="8" xfId="0" applyFont="1" applyBorder="1"/>
    <xf numFmtId="0" fontId="4" fillId="0" borderId="36" xfId="0" applyFont="1" applyBorder="1"/>
    <xf numFmtId="0" fontId="10" fillId="0" borderId="52" xfId="0" applyFont="1" applyBorder="1" applyAlignment="1">
      <alignment horizontal="right" vertical="center"/>
    </xf>
    <xf numFmtId="0" fontId="4" fillId="0" borderId="53" xfId="0" applyFont="1" applyBorder="1"/>
    <xf numFmtId="0" fontId="4" fillId="0" borderId="54" xfId="0" applyFont="1" applyBorder="1"/>
    <xf numFmtId="168" fontId="15" fillId="0" borderId="31" xfId="0" applyNumberFormat="1" applyFont="1" applyBorder="1" applyAlignment="1">
      <alignment horizontal="right" vertical="center"/>
    </xf>
    <xf numFmtId="0" fontId="4" fillId="0" borderId="56" xfId="0" applyFont="1" applyBorder="1"/>
    <xf numFmtId="0" fontId="4" fillId="0" borderId="57" xfId="0" applyFont="1" applyBorder="1"/>
    <xf numFmtId="0" fontId="4" fillId="0" borderId="40" xfId="0" applyFont="1" applyBorder="1"/>
    <xf numFmtId="0" fontId="13" fillId="0" borderId="35" xfId="0" applyFont="1" applyBorder="1" applyAlignment="1">
      <alignment horizontal="left" vertical="center"/>
    </xf>
    <xf numFmtId="0" fontId="13" fillId="0" borderId="3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10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10" fillId="0" borderId="7" xfId="0" applyFont="1" applyBorder="1" applyAlignment="1">
      <alignment horizontal="left" vertical="center"/>
    </xf>
    <xf numFmtId="0" fontId="10" fillId="6" borderId="7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2"/>
  <sheetViews>
    <sheetView showGridLines="0" tabSelected="1" workbookViewId="0">
      <selection activeCell="H6" sqref="H6:I7"/>
    </sheetView>
  </sheetViews>
  <sheetFormatPr baseColWidth="10" defaultColWidth="11.19921875" defaultRowHeight="15" customHeight="1" x14ac:dyDescent="0.3"/>
  <cols>
    <col min="1" max="1" width="31.09765625" customWidth="1"/>
    <col min="2" max="2" width="4.296875" customWidth="1"/>
    <col min="3" max="3" width="9.296875" customWidth="1"/>
    <col min="4" max="4" width="8.3984375" customWidth="1"/>
    <col min="5" max="5" width="6.8984375" customWidth="1"/>
    <col min="6" max="6" width="13.09765625" customWidth="1"/>
    <col min="7" max="7" width="15.296875" customWidth="1"/>
    <col min="8" max="8" width="32.796875" customWidth="1"/>
    <col min="9" max="9" width="28" customWidth="1"/>
    <col min="10" max="25" width="12.3984375" customWidth="1"/>
    <col min="26" max="30" width="10.796875" customWidth="1"/>
  </cols>
  <sheetData>
    <row r="1" spans="1:34" ht="39.75" customHeight="1" x14ac:dyDescent="0.3">
      <c r="A1" s="102" t="s">
        <v>5</v>
      </c>
      <c r="B1" s="103"/>
      <c r="C1" s="103"/>
      <c r="D1" s="103"/>
      <c r="E1" s="103"/>
      <c r="F1" s="10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8"/>
      <c r="AF1" s="8"/>
      <c r="AG1" s="8"/>
      <c r="AH1" s="8"/>
    </row>
    <row r="2" spans="1:34" ht="15.75" customHeight="1" x14ac:dyDescent="0.3">
      <c r="A2" s="104" t="s">
        <v>12</v>
      </c>
      <c r="B2" s="105"/>
      <c r="C2" s="105"/>
      <c r="D2" s="105"/>
      <c r="E2" s="105"/>
      <c r="F2" s="106"/>
      <c r="G2" s="4"/>
      <c r="H2" s="112" t="s">
        <v>16</v>
      </c>
      <c r="I2" s="112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8"/>
      <c r="AF2" s="8"/>
      <c r="AG2" s="8"/>
      <c r="AH2" s="8"/>
    </row>
    <row r="3" spans="1:34" ht="15.75" customHeight="1" x14ac:dyDescent="0.3">
      <c r="A3" s="107"/>
      <c r="B3" s="103"/>
      <c r="C3" s="103"/>
      <c r="D3" s="103"/>
      <c r="E3" s="103"/>
      <c r="F3" s="108"/>
      <c r="G3" s="4"/>
      <c r="H3" s="67" t="s">
        <v>21</v>
      </c>
      <c r="I3" s="6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8"/>
      <c r="AF3" s="8"/>
      <c r="AG3" s="8"/>
      <c r="AH3" s="8"/>
    </row>
    <row r="4" spans="1:34" ht="15.75" customHeight="1" x14ac:dyDescent="0.3">
      <c r="A4" s="109" t="s">
        <v>22</v>
      </c>
      <c r="B4" s="91"/>
      <c r="C4" s="70"/>
      <c r="D4" s="14"/>
      <c r="E4" s="15"/>
      <c r="F4" s="16">
        <v>1750905</v>
      </c>
      <c r="G4" s="4"/>
      <c r="H4" s="68"/>
      <c r="I4" s="68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8"/>
      <c r="AF4" s="8"/>
      <c r="AG4" s="8"/>
      <c r="AH4" s="8"/>
    </row>
    <row r="5" spans="1:34" ht="15.75" customHeight="1" x14ac:dyDescent="0.3">
      <c r="A5" s="15" t="s">
        <v>2</v>
      </c>
      <c r="B5" s="14"/>
      <c r="C5" s="14"/>
      <c r="D5" s="14"/>
      <c r="E5" s="15"/>
      <c r="F5" s="17">
        <f>IF(F4&lt;=2*HistorialSalarioMinimo!B22,HistorialSalarioMinimo!C22,0)</f>
        <v>249095</v>
      </c>
      <c r="G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8"/>
      <c r="AF5" s="8"/>
      <c r="AG5" s="8"/>
      <c r="AH5" s="8"/>
    </row>
    <row r="6" spans="1:34" ht="15.75" customHeight="1" x14ac:dyDescent="0.3">
      <c r="A6" s="110" t="s">
        <v>23</v>
      </c>
      <c r="B6" s="70"/>
      <c r="C6" s="18">
        <v>0.35</v>
      </c>
      <c r="D6" s="19">
        <v>1</v>
      </c>
      <c r="E6" s="20"/>
      <c r="F6" s="17">
        <f t="shared" ref="F6:F12" si="0">($F$4/210)*C6*D6</f>
        <v>2918.1749999999997</v>
      </c>
      <c r="G6" s="4"/>
      <c r="H6" s="67" t="s">
        <v>24</v>
      </c>
      <c r="I6" s="6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8"/>
      <c r="AF6" s="8"/>
      <c r="AG6" s="8"/>
      <c r="AH6" s="8"/>
    </row>
    <row r="7" spans="1:34" ht="15.75" customHeight="1" x14ac:dyDescent="0.3">
      <c r="A7" s="110" t="s">
        <v>25</v>
      </c>
      <c r="B7" s="70"/>
      <c r="C7" s="18">
        <v>0.9</v>
      </c>
      <c r="D7" s="19">
        <v>1</v>
      </c>
      <c r="E7" s="20"/>
      <c r="F7" s="17">
        <f t="shared" si="0"/>
        <v>7503.8785714285714</v>
      </c>
      <c r="G7" s="4"/>
      <c r="H7" s="68"/>
      <c r="I7" s="68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8"/>
      <c r="AF7" s="8"/>
      <c r="AG7" s="8"/>
      <c r="AH7" s="8"/>
    </row>
    <row r="8" spans="1:34" ht="15.75" customHeight="1" x14ac:dyDescent="0.3">
      <c r="A8" s="110" t="s">
        <v>26</v>
      </c>
      <c r="B8" s="70"/>
      <c r="C8" s="18">
        <v>1.25</v>
      </c>
      <c r="D8" s="19">
        <v>1</v>
      </c>
      <c r="E8" s="20"/>
      <c r="F8" s="17">
        <f t="shared" si="0"/>
        <v>10422.053571428571</v>
      </c>
      <c r="G8" s="4"/>
      <c r="H8" s="2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8"/>
      <c r="AF8" s="8"/>
      <c r="AG8" s="8"/>
      <c r="AH8" s="8"/>
    </row>
    <row r="9" spans="1:34" ht="15.75" customHeight="1" x14ac:dyDescent="0.3">
      <c r="A9" s="69" t="s">
        <v>27</v>
      </c>
      <c r="B9" s="70"/>
      <c r="C9" s="22">
        <v>1.25</v>
      </c>
      <c r="D9" s="19">
        <v>1</v>
      </c>
      <c r="E9" s="20"/>
      <c r="F9" s="17">
        <f t="shared" si="0"/>
        <v>10422.053571428571</v>
      </c>
      <c r="G9" s="4"/>
      <c r="H9" s="67" t="s">
        <v>28</v>
      </c>
      <c r="I9" s="68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/>
      <c r="AF9" s="8"/>
      <c r="AG9" s="8"/>
      <c r="AH9" s="8"/>
    </row>
    <row r="10" spans="1:34" ht="15.75" customHeight="1" x14ac:dyDescent="0.3">
      <c r="A10" s="69" t="s">
        <v>29</v>
      </c>
      <c r="B10" s="70"/>
      <c r="C10" s="22">
        <v>1.75</v>
      </c>
      <c r="D10" s="19">
        <v>1</v>
      </c>
      <c r="E10" s="20"/>
      <c r="F10" s="17">
        <f t="shared" si="0"/>
        <v>14590.875</v>
      </c>
      <c r="G10" s="4"/>
      <c r="H10" s="68"/>
      <c r="I10" s="68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"/>
      <c r="AF10" s="8"/>
      <c r="AG10" s="8"/>
      <c r="AH10" s="8"/>
    </row>
    <row r="11" spans="1:34" ht="15.75" customHeight="1" x14ac:dyDescent="0.3">
      <c r="A11" s="69" t="s">
        <v>30</v>
      </c>
      <c r="B11" s="70"/>
      <c r="C11" s="22">
        <v>2.15</v>
      </c>
      <c r="D11" s="19">
        <v>1</v>
      </c>
      <c r="E11" s="20"/>
      <c r="F11" s="17">
        <f t="shared" si="0"/>
        <v>17925.932142857142</v>
      </c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/>
      <c r="AF11" s="8"/>
      <c r="AG11" s="8"/>
      <c r="AH11" s="8"/>
    </row>
    <row r="12" spans="1:34" ht="15.75" customHeight="1" x14ac:dyDescent="0.3">
      <c r="A12" s="69" t="s">
        <v>31</v>
      </c>
      <c r="B12" s="70"/>
      <c r="C12" s="22">
        <v>2.65</v>
      </c>
      <c r="D12" s="19">
        <v>1</v>
      </c>
      <c r="E12" s="20"/>
      <c r="F12" s="17">
        <f t="shared" si="0"/>
        <v>22094.75357142857</v>
      </c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"/>
      <c r="AF12" s="8"/>
      <c r="AG12" s="8"/>
      <c r="AH12" s="8"/>
    </row>
    <row r="13" spans="1:34" ht="15.75" customHeight="1" x14ac:dyDescent="0.3">
      <c r="A13" s="71" t="s">
        <v>32</v>
      </c>
      <c r="B13" s="68"/>
      <c r="C13" s="68"/>
      <c r="D13" s="72"/>
      <c r="E13" s="23"/>
      <c r="F13" s="25"/>
      <c r="G13" s="4"/>
      <c r="H13" s="67" t="s">
        <v>33</v>
      </c>
      <c r="I13" s="6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"/>
      <c r="AF13" s="8"/>
      <c r="AG13" s="8"/>
      <c r="AH13" s="8"/>
    </row>
    <row r="14" spans="1:34" ht="15.75" customHeight="1" x14ac:dyDescent="0.3">
      <c r="A14" s="73" t="s">
        <v>34</v>
      </c>
      <c r="B14" s="74"/>
      <c r="C14" s="74"/>
      <c r="D14" s="74"/>
      <c r="E14" s="74"/>
      <c r="F14" s="28">
        <f>SUM(F4:F13)</f>
        <v>2085877.7214285717</v>
      </c>
      <c r="G14" s="4"/>
      <c r="H14" s="68"/>
      <c r="I14" s="6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/>
      <c r="AF14" s="8"/>
      <c r="AG14" s="8"/>
      <c r="AH14" s="8"/>
    </row>
    <row r="15" spans="1:34" ht="15.75" customHeight="1" x14ac:dyDescent="0.3">
      <c r="A15" s="75" t="s">
        <v>7</v>
      </c>
      <c r="B15" s="76"/>
      <c r="C15" s="76"/>
      <c r="D15" s="76"/>
      <c r="E15" s="76"/>
      <c r="F15" s="77"/>
      <c r="G15" s="4"/>
      <c r="H15" s="29"/>
      <c r="I15" s="29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/>
      <c r="AF15" s="8"/>
      <c r="AG15" s="8"/>
      <c r="AH15" s="8"/>
    </row>
    <row r="16" spans="1:34" ht="15.75" customHeight="1" x14ac:dyDescent="0.3">
      <c r="A16" s="80" t="s">
        <v>35</v>
      </c>
      <c r="B16" s="81"/>
      <c r="C16" s="81"/>
      <c r="D16" s="79"/>
      <c r="E16" s="78" t="s">
        <v>36</v>
      </c>
      <c r="F16" s="79"/>
      <c r="G16" s="4"/>
      <c r="H16" s="29"/>
      <c r="I16" s="29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8"/>
      <c r="AF16" s="8"/>
      <c r="AG16" s="8"/>
      <c r="AH16" s="8"/>
    </row>
    <row r="17" spans="1:34" ht="15.75" customHeight="1" x14ac:dyDescent="0.3">
      <c r="A17" s="82"/>
      <c r="B17" s="83"/>
      <c r="C17" s="30" t="s">
        <v>37</v>
      </c>
      <c r="D17" s="31" t="s">
        <v>38</v>
      </c>
      <c r="E17" s="32" t="s">
        <v>37</v>
      </c>
      <c r="F17" s="31" t="s">
        <v>38</v>
      </c>
      <c r="G17" s="8"/>
      <c r="H17" s="29"/>
      <c r="I17" s="29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8"/>
      <c r="AF17" s="8"/>
      <c r="AG17" s="8"/>
      <c r="AH17" s="8"/>
    </row>
    <row r="18" spans="1:34" ht="15.75" customHeight="1" x14ac:dyDescent="0.3">
      <c r="A18" s="82" t="s">
        <v>39</v>
      </c>
      <c r="B18" s="83"/>
      <c r="C18" s="30">
        <v>8.5000000000000006E-2</v>
      </c>
      <c r="D18" s="33">
        <f t="shared" ref="D18:D20" si="1">($F$14-$F$5)*C18</f>
        <v>156126.5313214286</v>
      </c>
      <c r="E18" s="32">
        <v>0.04</v>
      </c>
      <c r="F18" s="33">
        <f t="shared" ref="F18:F19" si="2">($F$14-$F$5)*E18</f>
        <v>73471.308857142867</v>
      </c>
      <c r="G18" s="8"/>
      <c r="H18" s="29"/>
      <c r="I18" s="29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8"/>
      <c r="AF18" s="8"/>
      <c r="AG18" s="8"/>
      <c r="AH18" s="8"/>
    </row>
    <row r="19" spans="1:34" ht="15.75" customHeight="1" x14ac:dyDescent="0.3">
      <c r="A19" s="82" t="s">
        <v>40</v>
      </c>
      <c r="B19" s="83"/>
      <c r="C19" s="34">
        <v>0.12</v>
      </c>
      <c r="D19" s="33">
        <f t="shared" si="1"/>
        <v>220413.9265714286</v>
      </c>
      <c r="E19" s="32">
        <v>0.04</v>
      </c>
      <c r="F19" s="33">
        <f t="shared" si="2"/>
        <v>73471.308857142867</v>
      </c>
      <c r="G19" s="8"/>
      <c r="H19" s="29"/>
      <c r="I19" s="2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8"/>
      <c r="AF19" s="8"/>
      <c r="AG19" s="8"/>
      <c r="AH19" s="8"/>
    </row>
    <row r="20" spans="1:34" ht="15.75" customHeight="1" x14ac:dyDescent="0.3">
      <c r="A20" s="82" t="s">
        <v>41</v>
      </c>
      <c r="B20" s="83"/>
      <c r="C20" s="30">
        <v>5.2199999999999998E-3</v>
      </c>
      <c r="D20" s="33">
        <f t="shared" si="1"/>
        <v>9588.0058058571449</v>
      </c>
      <c r="E20" s="35"/>
      <c r="F20" s="33">
        <v>0</v>
      </c>
      <c r="G20" s="8"/>
      <c r="H20" s="29"/>
      <c r="I20" s="2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8"/>
      <c r="AF20" s="8"/>
      <c r="AG20" s="8"/>
      <c r="AH20" s="8"/>
    </row>
    <row r="21" spans="1:34" ht="15.75" customHeight="1" x14ac:dyDescent="0.3">
      <c r="A21" s="84" t="s">
        <v>42</v>
      </c>
      <c r="B21" s="85"/>
      <c r="C21" s="36"/>
      <c r="D21" s="28">
        <f>SUM(D18:D20)</f>
        <v>386128.46369871433</v>
      </c>
      <c r="E21" s="37"/>
      <c r="F21" s="28">
        <f>SUM(F18:F20)</f>
        <v>146942.61771428573</v>
      </c>
      <c r="G21" s="8"/>
      <c r="H21" s="29"/>
      <c r="I21" s="2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8"/>
      <c r="AF21" s="8"/>
      <c r="AG21" s="8"/>
      <c r="AH21" s="8"/>
    </row>
    <row r="22" spans="1:34" ht="15.75" customHeight="1" x14ac:dyDescent="0.3">
      <c r="A22" s="86" t="s">
        <v>43</v>
      </c>
      <c r="B22" s="74"/>
      <c r="C22" s="74"/>
      <c r="D22" s="74"/>
      <c r="E22" s="74"/>
      <c r="F22" s="28">
        <f>F14-F21</f>
        <v>1938935.1037142859</v>
      </c>
      <c r="G22" s="8"/>
      <c r="H22" s="29"/>
      <c r="I22" s="2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8"/>
      <c r="AF22" s="8"/>
      <c r="AG22" s="8"/>
      <c r="AH22" s="8"/>
    </row>
    <row r="23" spans="1:34" ht="15.75" customHeight="1" x14ac:dyDescent="0.3">
      <c r="A23" s="75" t="s">
        <v>44</v>
      </c>
      <c r="B23" s="76"/>
      <c r="C23" s="76"/>
      <c r="D23" s="76"/>
      <c r="E23" s="76"/>
      <c r="F23" s="77"/>
      <c r="G23" s="8"/>
      <c r="H23" s="29"/>
      <c r="I23" s="29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8"/>
      <c r="AF23" s="8"/>
      <c r="AG23" s="8"/>
      <c r="AH23" s="8"/>
    </row>
    <row r="24" spans="1:34" ht="15.75" customHeight="1" x14ac:dyDescent="0.3">
      <c r="A24" s="87" t="s">
        <v>35</v>
      </c>
      <c r="B24" s="88"/>
      <c r="C24" s="88"/>
      <c r="D24" s="88"/>
      <c r="E24" s="88"/>
      <c r="F24" s="89"/>
      <c r="G24" s="8"/>
      <c r="H24" s="29"/>
      <c r="I24" s="2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8"/>
      <c r="AF24" s="8"/>
      <c r="AG24" s="8"/>
      <c r="AH24" s="8"/>
    </row>
    <row r="25" spans="1:34" ht="15.75" customHeight="1" x14ac:dyDescent="0.3">
      <c r="A25" s="90"/>
      <c r="B25" s="91"/>
      <c r="C25" s="91"/>
      <c r="D25" s="92"/>
      <c r="E25" s="30"/>
      <c r="F25" s="31" t="s">
        <v>38</v>
      </c>
      <c r="G25" s="8"/>
      <c r="H25" s="29"/>
      <c r="I25" s="29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8"/>
      <c r="AF25" s="8"/>
      <c r="AG25" s="8"/>
      <c r="AH25" s="8"/>
    </row>
    <row r="26" spans="1:34" ht="15.75" customHeight="1" x14ac:dyDescent="0.3">
      <c r="A26" s="90" t="s">
        <v>45</v>
      </c>
      <c r="B26" s="91"/>
      <c r="C26" s="91"/>
      <c r="D26" s="92"/>
      <c r="E26" s="38">
        <v>0.03</v>
      </c>
      <c r="F26" s="33">
        <f t="shared" ref="F26:F28" si="3">($F$14-$F$5)*E26</f>
        <v>55103.48164285715</v>
      </c>
      <c r="G26" s="8"/>
      <c r="H26" s="29"/>
      <c r="I26" s="2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8"/>
      <c r="AF26" s="8"/>
      <c r="AG26" s="8"/>
      <c r="AH26" s="8"/>
    </row>
    <row r="27" spans="1:34" ht="15.75" customHeight="1" x14ac:dyDescent="0.3">
      <c r="A27" s="90" t="s">
        <v>46</v>
      </c>
      <c r="B27" s="91"/>
      <c r="C27" s="91"/>
      <c r="D27" s="92"/>
      <c r="E27" s="38">
        <v>0.02</v>
      </c>
      <c r="F27" s="33">
        <f t="shared" si="3"/>
        <v>36735.654428571434</v>
      </c>
      <c r="G27" s="8"/>
      <c r="H27" s="29"/>
      <c r="I27" s="29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8"/>
      <c r="AF27" s="8"/>
      <c r="AG27" s="8"/>
      <c r="AH27" s="8"/>
    </row>
    <row r="28" spans="1:34" ht="15.75" customHeight="1" x14ac:dyDescent="0.3">
      <c r="A28" s="90" t="s">
        <v>47</v>
      </c>
      <c r="B28" s="91"/>
      <c r="C28" s="91"/>
      <c r="D28" s="92"/>
      <c r="E28" s="39">
        <v>0.04</v>
      </c>
      <c r="F28" s="33">
        <f t="shared" si="3"/>
        <v>73471.308857142867</v>
      </c>
      <c r="G28" s="8"/>
      <c r="H28" s="29"/>
      <c r="I28" s="29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8"/>
      <c r="AF28" s="8"/>
      <c r="AG28" s="8"/>
      <c r="AH28" s="8"/>
    </row>
    <row r="29" spans="1:34" ht="15.75" customHeight="1" x14ac:dyDescent="0.3">
      <c r="A29" s="90" t="s">
        <v>48</v>
      </c>
      <c r="B29" s="91"/>
      <c r="C29" s="91"/>
      <c r="D29" s="92"/>
      <c r="E29" s="37"/>
      <c r="F29" s="28">
        <f>SUM(F26:F28)</f>
        <v>165310.44492857147</v>
      </c>
      <c r="G29" s="8"/>
      <c r="H29" s="29"/>
      <c r="I29" s="2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8"/>
      <c r="AF29" s="8"/>
      <c r="AG29" s="8"/>
      <c r="AH29" s="8"/>
    </row>
    <row r="30" spans="1:34" ht="15.75" customHeight="1" x14ac:dyDescent="0.3">
      <c r="A30" s="40"/>
      <c r="B30" s="41" t="s">
        <v>49</v>
      </c>
      <c r="C30" s="42"/>
      <c r="D30" s="42"/>
      <c r="E30" s="42"/>
      <c r="F30" s="43"/>
      <c r="G30" s="8"/>
      <c r="H30" s="29"/>
      <c r="I30" s="29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8"/>
      <c r="AF30" s="8"/>
      <c r="AG30" s="8"/>
      <c r="AH30" s="8"/>
    </row>
    <row r="31" spans="1:34" ht="15.75" customHeight="1" x14ac:dyDescent="0.3">
      <c r="A31" s="87" t="s">
        <v>35</v>
      </c>
      <c r="B31" s="99"/>
      <c r="C31" s="44"/>
      <c r="D31" s="44"/>
      <c r="E31" s="44"/>
      <c r="F31" s="45"/>
      <c r="G31" s="8"/>
      <c r="H31" s="29"/>
      <c r="I31" s="29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8"/>
      <c r="AF31" s="8"/>
      <c r="AG31" s="8"/>
      <c r="AH31" s="8"/>
    </row>
    <row r="32" spans="1:34" ht="18.75" customHeight="1" x14ac:dyDescent="0.3">
      <c r="A32" s="100" t="s">
        <v>50</v>
      </c>
      <c r="B32" s="70"/>
      <c r="C32" s="46">
        <f>F14/12</f>
        <v>173823.14345238099</v>
      </c>
      <c r="D32" s="47"/>
      <c r="E32" s="48"/>
      <c r="F32" s="49"/>
      <c r="G32" s="8"/>
      <c r="H32" s="29"/>
      <c r="I32" s="29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8"/>
      <c r="AF32" s="8"/>
      <c r="AG32" s="8"/>
      <c r="AH32" s="8"/>
    </row>
    <row r="33" spans="1:34" ht="15.75" customHeight="1" x14ac:dyDescent="0.3">
      <c r="A33" s="100" t="s">
        <v>51</v>
      </c>
      <c r="B33" s="70"/>
      <c r="C33" s="46">
        <f>C32*1%</f>
        <v>1738.2314345238099</v>
      </c>
      <c r="D33" s="50"/>
      <c r="E33" s="51"/>
      <c r="F33" s="52"/>
      <c r="G33" s="8"/>
      <c r="H33" s="29"/>
      <c r="I33" s="29"/>
      <c r="J33" s="53"/>
      <c r="K33" s="53"/>
      <c r="L33" s="53"/>
      <c r="M33" s="53"/>
      <c r="N33" s="54"/>
      <c r="O33" s="54"/>
      <c r="P33" s="54"/>
      <c r="Q33" s="54"/>
      <c r="R33" s="55"/>
      <c r="S33" s="55"/>
      <c r="T33" s="55"/>
      <c r="U33" s="55"/>
      <c r="V33" s="55"/>
      <c r="W33" s="55"/>
      <c r="X33" s="55"/>
      <c r="Y33" s="55"/>
      <c r="Z33" s="55"/>
      <c r="AA33" s="5"/>
      <c r="AB33" s="5"/>
      <c r="AC33" s="5"/>
      <c r="AD33" s="5"/>
      <c r="AE33" s="8"/>
      <c r="AF33" s="8"/>
      <c r="AG33" s="8"/>
      <c r="AH33" s="8"/>
    </row>
    <row r="34" spans="1:34" ht="15.75" customHeight="1" x14ac:dyDescent="0.3">
      <c r="A34" s="100" t="s">
        <v>52</v>
      </c>
      <c r="B34" s="70"/>
      <c r="C34" s="46">
        <f>F14/12</f>
        <v>173823.14345238099</v>
      </c>
      <c r="D34" s="56"/>
      <c r="E34" s="51"/>
      <c r="F34" s="57"/>
      <c r="G34" s="8"/>
      <c r="H34" s="29"/>
      <c r="I34" s="29"/>
      <c r="J34" s="54"/>
      <c r="K34" s="54"/>
      <c r="L34" s="54"/>
      <c r="M34" s="54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"/>
      <c r="Z34" s="5"/>
      <c r="AA34" s="5"/>
      <c r="AB34" s="5"/>
      <c r="AC34" s="5"/>
      <c r="AD34" s="5"/>
      <c r="AE34" s="8"/>
      <c r="AF34" s="8"/>
      <c r="AG34" s="8"/>
      <c r="AH34" s="8"/>
    </row>
    <row r="35" spans="1:34" ht="15.75" customHeight="1" x14ac:dyDescent="0.3">
      <c r="A35" s="100" t="s">
        <v>53</v>
      </c>
      <c r="B35" s="70"/>
      <c r="C35" s="46">
        <f>(((F14-F5)/2)/12)</f>
        <v>76532.613392857151</v>
      </c>
      <c r="D35" s="58"/>
      <c r="E35" s="51"/>
      <c r="F35" s="59"/>
      <c r="G35" s="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8"/>
      <c r="AF35" s="8"/>
      <c r="AG35" s="8"/>
      <c r="AH35" s="8"/>
    </row>
    <row r="36" spans="1:34" ht="15.75" customHeight="1" x14ac:dyDescent="0.3">
      <c r="A36" s="101" t="s">
        <v>54</v>
      </c>
      <c r="B36" s="91"/>
      <c r="C36" s="60">
        <f>SUM(C32:C35)</f>
        <v>425917.13173214288</v>
      </c>
      <c r="D36" s="61"/>
      <c r="E36" s="62"/>
      <c r="F36" s="63"/>
      <c r="G36" s="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8"/>
      <c r="AF36" s="8"/>
      <c r="AG36" s="8"/>
      <c r="AH36" s="8"/>
    </row>
    <row r="37" spans="1:34" ht="15.75" customHeight="1" x14ac:dyDescent="0.3">
      <c r="A37" s="93" t="s">
        <v>55</v>
      </c>
      <c r="B37" s="94"/>
      <c r="C37" s="94"/>
      <c r="D37" s="94"/>
      <c r="E37" s="95"/>
      <c r="F37" s="64">
        <f>C36</f>
        <v>425917.13173214288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8"/>
      <c r="AF37" s="8"/>
      <c r="AG37" s="8"/>
      <c r="AH37" s="8"/>
    </row>
    <row r="38" spans="1:34" ht="15.75" customHeight="1" x14ac:dyDescent="0.3">
      <c r="A38" s="93" t="s">
        <v>56</v>
      </c>
      <c r="B38" s="94"/>
      <c r="C38" s="94"/>
      <c r="D38" s="94"/>
      <c r="E38" s="95"/>
      <c r="F38" s="31">
        <f>F14+D21+D29</f>
        <v>2472006.1851272862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8"/>
      <c r="AF38" s="8"/>
      <c r="AG38" s="8"/>
      <c r="AH38" s="8"/>
    </row>
    <row r="39" spans="1:34" ht="15.75" customHeight="1" x14ac:dyDescent="0.3">
      <c r="A39" s="93" t="s">
        <v>57</v>
      </c>
      <c r="B39" s="94"/>
      <c r="C39" s="94"/>
      <c r="D39" s="94"/>
      <c r="E39" s="95"/>
      <c r="F39" s="65">
        <f>F37+F38</f>
        <v>2897923.3168594292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8"/>
      <c r="AF39" s="8"/>
      <c r="AG39" s="8"/>
      <c r="AH39" s="8"/>
    </row>
    <row r="40" spans="1:34" ht="15.75" customHeight="1" x14ac:dyDescent="0.3">
      <c r="A40" s="96" t="s">
        <v>58</v>
      </c>
      <c r="B40" s="97"/>
      <c r="C40" s="97"/>
      <c r="D40" s="97"/>
      <c r="E40" s="98"/>
      <c r="F40" s="66">
        <f>F39*12</f>
        <v>34775079.802313149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8"/>
      <c r="AF40" s="8"/>
      <c r="AG40" s="8"/>
      <c r="AH40" s="8"/>
    </row>
    <row r="41" spans="1:34" ht="15.75" customHeight="1" x14ac:dyDescent="0.3">
      <c r="A41" s="5"/>
      <c r="B41" s="5"/>
      <c r="C41" s="5"/>
      <c r="D41" s="5"/>
      <c r="E41" s="5"/>
      <c r="F41" s="5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8"/>
      <c r="AF41" s="8"/>
      <c r="AG41" s="8"/>
      <c r="AH41" s="8"/>
    </row>
    <row r="42" spans="1:34" ht="15.75" customHeight="1" x14ac:dyDescent="0.3">
      <c r="A42" s="5"/>
      <c r="B42" s="5"/>
      <c r="C42" s="5"/>
      <c r="D42" s="5"/>
      <c r="E42" s="5"/>
      <c r="F42" s="5"/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8"/>
      <c r="AF42" s="8"/>
      <c r="AG42" s="8"/>
      <c r="AH42" s="8"/>
    </row>
    <row r="43" spans="1:34" ht="15.75" customHeight="1" x14ac:dyDescent="0.3">
      <c r="A43" s="5"/>
      <c r="B43" s="5"/>
      <c r="C43" s="5"/>
      <c r="D43" s="5"/>
      <c r="E43" s="5"/>
      <c r="F43" s="5"/>
      <c r="G43" s="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8"/>
      <c r="AF43" s="8"/>
      <c r="AG43" s="8"/>
      <c r="AH43" s="8"/>
    </row>
    <row r="44" spans="1:34" ht="15.75" customHeight="1" x14ac:dyDescent="0.3">
      <c r="A44" s="5"/>
      <c r="B44" s="5"/>
      <c r="C44" s="5"/>
      <c r="D44" s="5"/>
      <c r="E44" s="5"/>
      <c r="F44" s="5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8"/>
      <c r="AF44" s="8"/>
      <c r="AG44" s="8"/>
      <c r="AH44" s="8"/>
    </row>
    <row r="45" spans="1:34" ht="15.75" customHeight="1" x14ac:dyDescent="0.3">
      <c r="A45" s="5"/>
      <c r="B45" s="5"/>
      <c r="C45" s="5"/>
      <c r="D45" s="5"/>
      <c r="E45" s="5"/>
      <c r="F45" s="5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8"/>
      <c r="AF45" s="8"/>
      <c r="AG45" s="8"/>
      <c r="AH45" s="8"/>
    </row>
    <row r="46" spans="1:34" ht="15.75" customHeight="1" x14ac:dyDescent="0.3">
      <c r="A46" s="5"/>
      <c r="B46" s="5"/>
      <c r="C46" s="5"/>
      <c r="D46" s="5"/>
      <c r="E46" s="5"/>
      <c r="F46" s="5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8"/>
      <c r="AF46" s="8"/>
      <c r="AG46" s="8"/>
      <c r="AH46" s="8"/>
    </row>
    <row r="47" spans="1:34" ht="15.75" customHeight="1" x14ac:dyDescent="0.3">
      <c r="A47" s="5"/>
      <c r="B47" s="5"/>
      <c r="C47" s="5"/>
      <c r="D47" s="5"/>
      <c r="E47" s="5"/>
      <c r="F47" s="5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8"/>
      <c r="AF47" s="8"/>
      <c r="AG47" s="8"/>
      <c r="AH47" s="8"/>
    </row>
    <row r="48" spans="1:34" ht="15.75" customHeight="1" x14ac:dyDescent="0.3">
      <c r="A48" s="5"/>
      <c r="B48" s="5"/>
      <c r="C48" s="5"/>
      <c r="D48" s="5"/>
      <c r="E48" s="5"/>
      <c r="F48" s="5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8"/>
      <c r="AF48" s="8"/>
      <c r="AG48" s="8"/>
      <c r="AH48" s="8"/>
    </row>
    <row r="49" spans="1:34" ht="15.75" customHeight="1" x14ac:dyDescent="0.3">
      <c r="A49" s="5"/>
      <c r="B49" s="5"/>
      <c r="C49" s="5"/>
      <c r="D49" s="5"/>
      <c r="E49" s="5"/>
      <c r="F49" s="5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8"/>
      <c r="AF49" s="8"/>
      <c r="AG49" s="8"/>
      <c r="AH49" s="8"/>
    </row>
    <row r="50" spans="1:34" ht="15.75" customHeight="1" x14ac:dyDescent="0.3">
      <c r="A50" s="5"/>
      <c r="B50" s="5"/>
      <c r="C50" s="5"/>
      <c r="D50" s="5"/>
      <c r="E50" s="5"/>
      <c r="F50" s="5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8"/>
      <c r="AF50" s="8"/>
      <c r="AG50" s="8"/>
      <c r="AH50" s="8"/>
    </row>
    <row r="51" spans="1:34" ht="15.75" customHeight="1" x14ac:dyDescent="0.3">
      <c r="A51" s="5"/>
      <c r="B51" s="5"/>
      <c r="C51" s="5"/>
      <c r="D51" s="5"/>
      <c r="E51" s="5"/>
      <c r="F51" s="5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8"/>
      <c r="AF51" s="8"/>
      <c r="AG51" s="8"/>
      <c r="AH51" s="8"/>
    </row>
    <row r="52" spans="1:34" ht="15.75" customHeight="1" x14ac:dyDescent="0.3">
      <c r="A52" s="5"/>
      <c r="B52" s="5"/>
      <c r="C52" s="5"/>
      <c r="D52" s="5"/>
      <c r="E52" s="5"/>
      <c r="F52" s="5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8"/>
      <c r="AF52" s="8"/>
      <c r="AG52" s="8"/>
      <c r="AH52" s="8"/>
    </row>
    <row r="53" spans="1:34" ht="15.75" customHeight="1" x14ac:dyDescent="0.3">
      <c r="A53" s="5"/>
      <c r="B53" s="5"/>
      <c r="C53" s="5"/>
      <c r="D53" s="5"/>
      <c r="E53" s="5"/>
      <c r="F53" s="5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8"/>
      <c r="AF53" s="8"/>
      <c r="AG53" s="8"/>
      <c r="AH53" s="8"/>
    </row>
    <row r="54" spans="1:34" ht="15.75" customHeight="1" x14ac:dyDescent="0.3">
      <c r="A54" s="5"/>
      <c r="B54" s="5"/>
      <c r="C54" s="5"/>
      <c r="D54" s="5"/>
      <c r="E54" s="5"/>
      <c r="F54" s="5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8"/>
      <c r="AF54" s="8"/>
      <c r="AG54" s="8"/>
      <c r="AH54" s="8"/>
    </row>
    <row r="55" spans="1:34" ht="15.75" customHeight="1" x14ac:dyDescent="0.3">
      <c r="A55" s="5"/>
      <c r="B55" s="5"/>
      <c r="C55" s="5"/>
      <c r="D55" s="5"/>
      <c r="E55" s="5"/>
      <c r="F55" s="5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8"/>
      <c r="AF55" s="8"/>
      <c r="AG55" s="8"/>
      <c r="AH55" s="8"/>
    </row>
    <row r="56" spans="1:34" ht="15.75" customHeight="1" x14ac:dyDescent="0.3">
      <c r="A56" s="5"/>
      <c r="B56" s="5"/>
      <c r="C56" s="5"/>
      <c r="D56" s="5"/>
      <c r="E56" s="5"/>
      <c r="F56" s="5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8"/>
      <c r="AF56" s="8"/>
      <c r="AG56" s="8"/>
      <c r="AH56" s="8"/>
    </row>
    <row r="57" spans="1:34" ht="15.75" customHeight="1" x14ac:dyDescent="0.3">
      <c r="A57" s="5"/>
      <c r="B57" s="5"/>
      <c r="C57" s="5"/>
      <c r="D57" s="5"/>
      <c r="E57" s="5"/>
      <c r="F57" s="5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8"/>
      <c r="AF57" s="8"/>
      <c r="AG57" s="8"/>
      <c r="AH57" s="8"/>
    </row>
    <row r="58" spans="1:34" ht="15.75" customHeight="1" x14ac:dyDescent="0.3">
      <c r="A58" s="5"/>
      <c r="B58" s="5"/>
      <c r="C58" s="5"/>
      <c r="D58" s="5"/>
      <c r="E58" s="5"/>
      <c r="F58" s="5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8"/>
      <c r="AF58" s="8"/>
      <c r="AG58" s="8"/>
      <c r="AH58" s="8"/>
    </row>
    <row r="59" spans="1:34" ht="15.75" customHeight="1" x14ac:dyDescent="0.3">
      <c r="A59" s="5"/>
      <c r="B59" s="5"/>
      <c r="C59" s="5"/>
      <c r="D59" s="5"/>
      <c r="E59" s="5"/>
      <c r="F59" s="5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8"/>
      <c r="AF59" s="8"/>
      <c r="AG59" s="8"/>
      <c r="AH59" s="8"/>
    </row>
    <row r="60" spans="1:34" ht="15.75" customHeight="1" x14ac:dyDescent="0.3">
      <c r="A60" s="5"/>
      <c r="B60" s="5"/>
      <c r="C60" s="5"/>
      <c r="D60" s="5"/>
      <c r="E60" s="5"/>
      <c r="F60" s="5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8"/>
      <c r="AF60" s="8"/>
      <c r="AG60" s="8"/>
      <c r="AH60" s="8"/>
    </row>
    <row r="61" spans="1:34" ht="15.75" customHeight="1" x14ac:dyDescent="0.3">
      <c r="A61" s="5"/>
      <c r="B61" s="5"/>
      <c r="C61" s="5"/>
      <c r="D61" s="5"/>
      <c r="E61" s="5"/>
      <c r="F61" s="5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8"/>
      <c r="AF61" s="8"/>
      <c r="AG61" s="8"/>
      <c r="AH61" s="8"/>
    </row>
    <row r="62" spans="1:34" ht="15.75" customHeight="1" x14ac:dyDescent="0.3">
      <c r="A62" s="5"/>
      <c r="B62" s="5"/>
      <c r="C62" s="5"/>
      <c r="D62" s="5"/>
      <c r="E62" s="5"/>
      <c r="F62" s="5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8"/>
      <c r="AF62" s="8"/>
      <c r="AG62" s="8"/>
      <c r="AH62" s="8"/>
    </row>
    <row r="63" spans="1:34" ht="15.75" customHeight="1" x14ac:dyDescent="0.3">
      <c r="A63" s="5"/>
      <c r="B63" s="5"/>
      <c r="C63" s="5"/>
      <c r="D63" s="5"/>
      <c r="E63" s="5"/>
      <c r="F63" s="5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8"/>
      <c r="AF63" s="8"/>
      <c r="AG63" s="8"/>
      <c r="AH63" s="8"/>
    </row>
    <row r="64" spans="1:34" ht="15.75" customHeight="1" x14ac:dyDescent="0.3">
      <c r="A64" s="5"/>
      <c r="B64" s="5"/>
      <c r="C64" s="5"/>
      <c r="D64" s="5"/>
      <c r="E64" s="5"/>
      <c r="F64" s="5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8"/>
      <c r="AF64" s="8"/>
      <c r="AG64" s="8"/>
      <c r="AH64" s="8"/>
    </row>
    <row r="65" spans="1:34" ht="15.75" customHeight="1" x14ac:dyDescent="0.3">
      <c r="A65" s="5"/>
      <c r="B65" s="5"/>
      <c r="C65" s="5"/>
      <c r="D65" s="5"/>
      <c r="E65" s="5"/>
      <c r="F65" s="5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8"/>
      <c r="AF65" s="8"/>
      <c r="AG65" s="8"/>
      <c r="AH65" s="8"/>
    </row>
    <row r="66" spans="1:34" ht="15.75" customHeight="1" x14ac:dyDescent="0.3">
      <c r="A66" s="5"/>
      <c r="B66" s="5"/>
      <c r="C66" s="5"/>
      <c r="D66" s="5"/>
      <c r="E66" s="5"/>
      <c r="F66" s="5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8"/>
      <c r="AF66" s="8"/>
      <c r="AG66" s="8"/>
      <c r="AH66" s="8"/>
    </row>
    <row r="67" spans="1:34" ht="15.75" customHeight="1" x14ac:dyDescent="0.3">
      <c r="A67" s="5"/>
      <c r="B67" s="5"/>
      <c r="C67" s="5"/>
      <c r="D67" s="5"/>
      <c r="E67" s="5"/>
      <c r="F67" s="5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8"/>
      <c r="AF67" s="8"/>
      <c r="AG67" s="8"/>
      <c r="AH67" s="8"/>
    </row>
    <row r="68" spans="1:34" ht="15.75" customHeight="1" x14ac:dyDescent="0.3">
      <c r="A68" s="5"/>
      <c r="B68" s="5"/>
      <c r="C68" s="5"/>
      <c r="D68" s="5"/>
      <c r="E68" s="5"/>
      <c r="F68" s="5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8"/>
      <c r="AF68" s="8"/>
      <c r="AG68" s="8"/>
      <c r="AH68" s="8"/>
    </row>
    <row r="69" spans="1:34" ht="15.75" customHeight="1" x14ac:dyDescent="0.3">
      <c r="A69" s="5"/>
      <c r="B69" s="5"/>
      <c r="C69" s="5"/>
      <c r="D69" s="5"/>
      <c r="E69" s="5"/>
      <c r="F69" s="5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8"/>
      <c r="AF69" s="8"/>
      <c r="AG69" s="8"/>
      <c r="AH69" s="8"/>
    </row>
    <row r="70" spans="1:34" ht="15.75" customHeight="1" x14ac:dyDescent="0.3">
      <c r="A70" s="5"/>
      <c r="B70" s="5"/>
      <c r="C70" s="5"/>
      <c r="D70" s="5"/>
      <c r="E70" s="5"/>
      <c r="F70" s="5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8"/>
      <c r="AF70" s="8"/>
      <c r="AG70" s="8"/>
      <c r="AH70" s="8"/>
    </row>
    <row r="71" spans="1:34" ht="15.75" customHeight="1" x14ac:dyDescent="0.3">
      <c r="A71" s="5"/>
      <c r="B71" s="5"/>
      <c r="C71" s="5"/>
      <c r="D71" s="5"/>
      <c r="E71" s="5"/>
      <c r="F71" s="5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8"/>
      <c r="AF71" s="8"/>
      <c r="AG71" s="8"/>
      <c r="AH71" s="8"/>
    </row>
    <row r="72" spans="1:34" ht="15.75" customHeight="1" x14ac:dyDescent="0.3">
      <c r="A72" s="5"/>
      <c r="B72" s="5"/>
      <c r="C72" s="5"/>
      <c r="D72" s="5"/>
      <c r="E72" s="5"/>
      <c r="F72" s="5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8"/>
      <c r="AF72" s="8"/>
      <c r="AG72" s="8"/>
      <c r="AH72" s="8"/>
    </row>
    <row r="73" spans="1:34" ht="15.75" customHeight="1" x14ac:dyDescent="0.3">
      <c r="A73" s="5"/>
      <c r="B73" s="5"/>
      <c r="C73" s="5"/>
      <c r="D73" s="5"/>
      <c r="E73" s="5"/>
      <c r="F73" s="5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8"/>
      <c r="AF73" s="8"/>
      <c r="AG73" s="8"/>
      <c r="AH73" s="8"/>
    </row>
    <row r="74" spans="1:34" ht="15.75" customHeight="1" x14ac:dyDescent="0.3">
      <c r="A74" s="5"/>
      <c r="B74" s="5"/>
      <c r="C74" s="5"/>
      <c r="D74" s="5"/>
      <c r="E74" s="5"/>
      <c r="F74" s="5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8"/>
      <c r="AF74" s="8"/>
      <c r="AG74" s="8"/>
      <c r="AH74" s="8"/>
    </row>
    <row r="75" spans="1:34" ht="15.75" customHeight="1" x14ac:dyDescent="0.3">
      <c r="A75" s="5"/>
      <c r="B75" s="5"/>
      <c r="C75" s="5"/>
      <c r="D75" s="5"/>
      <c r="E75" s="5"/>
      <c r="F75" s="5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8"/>
      <c r="AF75" s="8"/>
      <c r="AG75" s="8"/>
      <c r="AH75" s="8"/>
    </row>
    <row r="76" spans="1:34" ht="15.75" customHeight="1" x14ac:dyDescent="0.3">
      <c r="A76" s="5"/>
      <c r="B76" s="5"/>
      <c r="C76" s="5"/>
      <c r="D76" s="5"/>
      <c r="E76" s="5"/>
      <c r="F76" s="5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8"/>
      <c r="AF76" s="8"/>
      <c r="AG76" s="8"/>
      <c r="AH76" s="8"/>
    </row>
    <row r="77" spans="1:34" ht="15.75" customHeight="1" x14ac:dyDescent="0.3">
      <c r="A77" s="5"/>
      <c r="B77" s="5"/>
      <c r="C77" s="5"/>
      <c r="D77" s="5"/>
      <c r="E77" s="5"/>
      <c r="F77" s="5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8"/>
      <c r="AF77" s="8"/>
      <c r="AG77" s="8"/>
      <c r="AH77" s="8"/>
    </row>
    <row r="78" spans="1:34" ht="15.75" customHeight="1" x14ac:dyDescent="0.3">
      <c r="A78" s="5"/>
      <c r="B78" s="5"/>
      <c r="C78" s="5"/>
      <c r="D78" s="5"/>
      <c r="E78" s="5"/>
      <c r="F78" s="5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8"/>
      <c r="AF78" s="8"/>
      <c r="AG78" s="8"/>
      <c r="AH78" s="8"/>
    </row>
    <row r="79" spans="1:34" ht="15.75" customHeight="1" x14ac:dyDescent="0.3">
      <c r="A79" s="5"/>
      <c r="B79" s="5"/>
      <c r="C79" s="5"/>
      <c r="D79" s="5"/>
      <c r="E79" s="5"/>
      <c r="F79" s="5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8"/>
      <c r="AF79" s="8"/>
      <c r="AG79" s="8"/>
      <c r="AH79" s="8"/>
    </row>
    <row r="80" spans="1:34" ht="15.75" customHeight="1" x14ac:dyDescent="0.3">
      <c r="A80" s="5"/>
      <c r="B80" s="5"/>
      <c r="C80" s="5"/>
      <c r="D80" s="5"/>
      <c r="E80" s="5"/>
      <c r="F80" s="5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8"/>
      <c r="AF80" s="8"/>
      <c r="AG80" s="8"/>
      <c r="AH80" s="8"/>
    </row>
    <row r="81" spans="1:34" ht="15.75" customHeight="1" x14ac:dyDescent="0.3">
      <c r="A81" s="5"/>
      <c r="B81" s="5"/>
      <c r="C81" s="5"/>
      <c r="D81" s="5"/>
      <c r="E81" s="5"/>
      <c r="F81" s="5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8"/>
      <c r="AF81" s="8"/>
      <c r="AG81" s="8"/>
      <c r="AH81" s="8"/>
    </row>
    <row r="82" spans="1:34" ht="15.75" customHeight="1" x14ac:dyDescent="0.3">
      <c r="A82" s="5"/>
      <c r="B82" s="5"/>
      <c r="C82" s="5"/>
      <c r="D82" s="5"/>
      <c r="E82" s="5"/>
      <c r="F82" s="5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8"/>
      <c r="AF82" s="8"/>
      <c r="AG82" s="8"/>
      <c r="AH82" s="8"/>
    </row>
    <row r="83" spans="1:34" ht="15.75" customHeight="1" x14ac:dyDescent="0.3">
      <c r="A83" s="5"/>
      <c r="B83" s="5"/>
      <c r="C83" s="5"/>
      <c r="D83" s="5"/>
      <c r="E83" s="5"/>
      <c r="F83" s="5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8"/>
      <c r="AF83" s="8"/>
      <c r="AG83" s="8"/>
      <c r="AH83" s="8"/>
    </row>
    <row r="84" spans="1:34" ht="15.75" customHeight="1" x14ac:dyDescent="0.3">
      <c r="A84" s="5"/>
      <c r="B84" s="5"/>
      <c r="C84" s="5"/>
      <c r="D84" s="5"/>
      <c r="E84" s="5"/>
      <c r="F84" s="5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8"/>
      <c r="AF84" s="8"/>
      <c r="AG84" s="8"/>
      <c r="AH84" s="8"/>
    </row>
    <row r="85" spans="1:34" ht="15.75" customHeight="1" x14ac:dyDescent="0.3">
      <c r="A85" s="5"/>
      <c r="B85" s="5"/>
      <c r="C85" s="5"/>
      <c r="D85" s="5"/>
      <c r="E85" s="5"/>
      <c r="F85" s="5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8"/>
      <c r="AF85" s="8"/>
      <c r="AG85" s="8"/>
      <c r="AH85" s="8"/>
    </row>
    <row r="86" spans="1:34" ht="15.75" customHeight="1" x14ac:dyDescent="0.3">
      <c r="A86" s="5"/>
      <c r="B86" s="5"/>
      <c r="C86" s="5"/>
      <c r="D86" s="5"/>
      <c r="E86" s="5"/>
      <c r="F86" s="5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8"/>
      <c r="AF86" s="8"/>
      <c r="AG86" s="8"/>
      <c r="AH86" s="8"/>
    </row>
    <row r="87" spans="1:34" ht="15.75" customHeight="1" x14ac:dyDescent="0.3">
      <c r="A87" s="5"/>
      <c r="B87" s="5"/>
      <c r="C87" s="5"/>
      <c r="D87" s="5"/>
      <c r="E87" s="5"/>
      <c r="F87" s="5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8"/>
      <c r="AF87" s="8"/>
      <c r="AG87" s="8"/>
      <c r="AH87" s="8"/>
    </row>
    <row r="88" spans="1:34" ht="15.75" customHeight="1" x14ac:dyDescent="0.3">
      <c r="A88" s="5"/>
      <c r="B88" s="5"/>
      <c r="C88" s="5"/>
      <c r="D88" s="5"/>
      <c r="E88" s="5"/>
      <c r="F88" s="5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8"/>
      <c r="AF88" s="8"/>
      <c r="AG88" s="8"/>
      <c r="AH88" s="8"/>
    </row>
    <row r="89" spans="1:34" ht="15.75" customHeight="1" x14ac:dyDescent="0.3">
      <c r="A89" s="5"/>
      <c r="B89" s="5"/>
      <c r="C89" s="5"/>
      <c r="D89" s="5"/>
      <c r="E89" s="5"/>
      <c r="F89" s="5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8"/>
      <c r="AF89" s="8"/>
      <c r="AG89" s="8"/>
      <c r="AH89" s="8"/>
    </row>
    <row r="90" spans="1:34" ht="15.75" customHeight="1" x14ac:dyDescent="0.3">
      <c r="A90" s="5"/>
      <c r="B90" s="5"/>
      <c r="C90" s="5"/>
      <c r="D90" s="5"/>
      <c r="E90" s="5"/>
      <c r="F90" s="5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8"/>
      <c r="AF90" s="8"/>
      <c r="AG90" s="8"/>
      <c r="AH90" s="8"/>
    </row>
    <row r="91" spans="1:34" ht="15.75" customHeight="1" x14ac:dyDescent="0.3">
      <c r="A91" s="5"/>
      <c r="B91" s="5"/>
      <c r="C91" s="5"/>
      <c r="D91" s="5"/>
      <c r="E91" s="5"/>
      <c r="F91" s="5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8"/>
      <c r="AF91" s="8"/>
      <c r="AG91" s="8"/>
      <c r="AH91" s="8"/>
    </row>
    <row r="92" spans="1:34" ht="15.75" customHeight="1" x14ac:dyDescent="0.3">
      <c r="A92" s="5"/>
      <c r="B92" s="5"/>
      <c r="C92" s="5"/>
      <c r="D92" s="5"/>
      <c r="E92" s="5"/>
      <c r="F92" s="5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8"/>
      <c r="AF92" s="8"/>
      <c r="AG92" s="8"/>
      <c r="AH92" s="8"/>
    </row>
    <row r="93" spans="1:34" ht="15.75" customHeight="1" x14ac:dyDescent="0.3">
      <c r="A93" s="5"/>
      <c r="B93" s="5"/>
      <c r="C93" s="5"/>
      <c r="D93" s="5"/>
      <c r="E93" s="5"/>
      <c r="F93" s="5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8"/>
      <c r="AF93" s="8"/>
      <c r="AG93" s="8"/>
      <c r="AH93" s="8"/>
    </row>
    <row r="94" spans="1:34" ht="15.75" customHeight="1" x14ac:dyDescent="0.3">
      <c r="A94" s="5"/>
      <c r="B94" s="5"/>
      <c r="C94" s="5"/>
      <c r="D94" s="5"/>
      <c r="E94" s="5"/>
      <c r="F94" s="5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8"/>
      <c r="AF94" s="8"/>
      <c r="AG94" s="8"/>
      <c r="AH94" s="8"/>
    </row>
    <row r="95" spans="1:34" ht="15.75" customHeight="1" x14ac:dyDescent="0.3">
      <c r="A95" s="5"/>
      <c r="B95" s="5"/>
      <c r="C95" s="5"/>
      <c r="D95" s="5"/>
      <c r="E95" s="5"/>
      <c r="F95" s="5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8"/>
      <c r="AF95" s="8"/>
      <c r="AG95" s="8"/>
      <c r="AH95" s="8"/>
    </row>
    <row r="96" spans="1:34" ht="15.75" customHeight="1" x14ac:dyDescent="0.3">
      <c r="A96" s="5"/>
      <c r="B96" s="5"/>
      <c r="C96" s="5"/>
      <c r="D96" s="5"/>
      <c r="E96" s="5"/>
      <c r="F96" s="5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8"/>
      <c r="AF96" s="8"/>
      <c r="AG96" s="8"/>
      <c r="AH96" s="8"/>
    </row>
    <row r="97" spans="1:34" ht="15.75" customHeight="1" x14ac:dyDescent="0.3">
      <c r="A97" s="5"/>
      <c r="B97" s="5"/>
      <c r="C97" s="5"/>
      <c r="D97" s="5"/>
      <c r="E97" s="5"/>
      <c r="F97" s="5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8"/>
      <c r="AF97" s="8"/>
      <c r="AG97" s="8"/>
      <c r="AH97" s="8"/>
    </row>
    <row r="98" spans="1:34" ht="15.75" customHeight="1" x14ac:dyDescent="0.3">
      <c r="A98" s="5"/>
      <c r="B98" s="5"/>
      <c r="C98" s="5"/>
      <c r="D98" s="5"/>
      <c r="E98" s="5"/>
      <c r="F98" s="5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8"/>
      <c r="AF98" s="8"/>
      <c r="AG98" s="8"/>
      <c r="AH98" s="8"/>
    </row>
    <row r="99" spans="1:34" ht="15.75" customHeight="1" x14ac:dyDescent="0.3">
      <c r="A99" s="5"/>
      <c r="B99" s="5"/>
      <c r="C99" s="5"/>
      <c r="D99" s="5"/>
      <c r="E99" s="5"/>
      <c r="F99" s="5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8"/>
      <c r="AF99" s="8"/>
      <c r="AG99" s="8"/>
      <c r="AH99" s="8"/>
    </row>
    <row r="100" spans="1:34" ht="15.75" customHeight="1" x14ac:dyDescent="0.3">
      <c r="A100" s="5"/>
      <c r="B100" s="5"/>
      <c r="C100" s="5"/>
      <c r="D100" s="5"/>
      <c r="E100" s="5"/>
      <c r="F100" s="5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8"/>
      <c r="AF100" s="8"/>
      <c r="AG100" s="8"/>
      <c r="AH100" s="8"/>
    </row>
    <row r="101" spans="1:34" ht="15.75" customHeight="1" x14ac:dyDescent="0.3">
      <c r="A101" s="5"/>
      <c r="B101" s="5"/>
      <c r="C101" s="5"/>
      <c r="D101" s="5"/>
      <c r="E101" s="5"/>
      <c r="F101" s="5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8"/>
      <c r="AF101" s="8"/>
      <c r="AG101" s="8"/>
      <c r="AH101" s="8"/>
    </row>
    <row r="102" spans="1:34" ht="15.75" customHeight="1" x14ac:dyDescent="0.3">
      <c r="A102" s="5"/>
      <c r="B102" s="5"/>
      <c r="C102" s="5"/>
      <c r="D102" s="5"/>
      <c r="E102" s="5"/>
      <c r="F102" s="5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8"/>
      <c r="AF102" s="8"/>
      <c r="AG102" s="8"/>
      <c r="AH102" s="8"/>
    </row>
    <row r="103" spans="1:34" ht="15.75" customHeight="1" x14ac:dyDescent="0.3">
      <c r="A103" s="5"/>
      <c r="B103" s="5"/>
      <c r="C103" s="5"/>
      <c r="D103" s="5"/>
      <c r="E103" s="5"/>
      <c r="F103" s="5"/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8"/>
      <c r="AF103" s="8"/>
      <c r="AG103" s="8"/>
      <c r="AH103" s="8"/>
    </row>
    <row r="104" spans="1:34" ht="15.75" customHeight="1" x14ac:dyDescent="0.3">
      <c r="A104" s="5"/>
      <c r="B104" s="5"/>
      <c r="C104" s="5"/>
      <c r="D104" s="5"/>
      <c r="E104" s="5"/>
      <c r="F104" s="5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8"/>
      <c r="AF104" s="8"/>
      <c r="AG104" s="8"/>
      <c r="AH104" s="8"/>
    </row>
    <row r="105" spans="1:34" ht="15.75" customHeight="1" x14ac:dyDescent="0.3">
      <c r="A105" s="5"/>
      <c r="B105" s="5"/>
      <c r="C105" s="5"/>
      <c r="D105" s="5"/>
      <c r="E105" s="5"/>
      <c r="F105" s="5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8"/>
      <c r="AF105" s="8"/>
      <c r="AG105" s="8"/>
      <c r="AH105" s="8"/>
    </row>
    <row r="106" spans="1:34" ht="15.75" customHeight="1" x14ac:dyDescent="0.3">
      <c r="A106" s="5"/>
      <c r="B106" s="5"/>
      <c r="C106" s="5"/>
      <c r="D106" s="5"/>
      <c r="E106" s="5"/>
      <c r="F106" s="5"/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8"/>
      <c r="AF106" s="8"/>
      <c r="AG106" s="8"/>
      <c r="AH106" s="8"/>
    </row>
    <row r="107" spans="1:34" ht="15.75" customHeight="1" x14ac:dyDescent="0.3">
      <c r="A107" s="5"/>
      <c r="B107" s="5"/>
      <c r="C107" s="5"/>
      <c r="D107" s="5"/>
      <c r="E107" s="5"/>
      <c r="F107" s="5"/>
      <c r="G107" s="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8"/>
      <c r="AF107" s="8"/>
      <c r="AG107" s="8"/>
      <c r="AH107" s="8"/>
    </row>
    <row r="108" spans="1:34" ht="15.75" customHeight="1" x14ac:dyDescent="0.3">
      <c r="A108" s="5"/>
      <c r="B108" s="5"/>
      <c r="C108" s="5"/>
      <c r="D108" s="5"/>
      <c r="E108" s="5"/>
      <c r="F108" s="5"/>
      <c r="G108" s="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8"/>
      <c r="AF108" s="8"/>
      <c r="AG108" s="8"/>
      <c r="AH108" s="8"/>
    </row>
    <row r="109" spans="1:34" ht="15.75" customHeight="1" x14ac:dyDescent="0.3">
      <c r="A109" s="5"/>
      <c r="B109" s="5"/>
      <c r="C109" s="5"/>
      <c r="D109" s="5"/>
      <c r="E109" s="5"/>
      <c r="F109" s="5"/>
      <c r="G109" s="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8"/>
      <c r="AF109" s="8"/>
      <c r="AG109" s="8"/>
      <c r="AH109" s="8"/>
    </row>
    <row r="110" spans="1:34" ht="15.75" customHeight="1" x14ac:dyDescent="0.3">
      <c r="A110" s="5"/>
      <c r="B110" s="5"/>
      <c r="C110" s="5"/>
      <c r="D110" s="5"/>
      <c r="E110" s="5"/>
      <c r="F110" s="5"/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8"/>
      <c r="AF110" s="8"/>
      <c r="AG110" s="8"/>
      <c r="AH110" s="8"/>
    </row>
    <row r="111" spans="1:34" ht="15.75" customHeight="1" x14ac:dyDescent="0.3">
      <c r="A111" s="5"/>
      <c r="B111" s="5"/>
      <c r="C111" s="5"/>
      <c r="D111" s="5"/>
      <c r="E111" s="5"/>
      <c r="F111" s="5"/>
      <c r="G111" s="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8"/>
      <c r="AF111" s="8"/>
      <c r="AG111" s="8"/>
      <c r="AH111" s="8"/>
    </row>
    <row r="112" spans="1:34" ht="15.75" customHeight="1" x14ac:dyDescent="0.3">
      <c r="A112" s="5"/>
      <c r="B112" s="5"/>
      <c r="C112" s="5"/>
      <c r="D112" s="5"/>
      <c r="E112" s="5"/>
      <c r="F112" s="5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8"/>
      <c r="AF112" s="8"/>
      <c r="AG112" s="8"/>
      <c r="AH112" s="8"/>
    </row>
    <row r="113" spans="1:34" ht="15.75" customHeight="1" x14ac:dyDescent="0.3">
      <c r="A113" s="5"/>
      <c r="B113" s="5"/>
      <c r="C113" s="5"/>
      <c r="D113" s="5"/>
      <c r="E113" s="5"/>
      <c r="F113" s="5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8"/>
      <c r="AF113" s="8"/>
      <c r="AG113" s="8"/>
      <c r="AH113" s="8"/>
    </row>
    <row r="114" spans="1:34" ht="15.75" customHeight="1" x14ac:dyDescent="0.3">
      <c r="A114" s="5"/>
      <c r="B114" s="5"/>
      <c r="C114" s="5"/>
      <c r="D114" s="5"/>
      <c r="E114" s="5"/>
      <c r="F114" s="5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8"/>
      <c r="AF114" s="8"/>
      <c r="AG114" s="8"/>
      <c r="AH114" s="8"/>
    </row>
    <row r="115" spans="1:34" ht="15.75" customHeight="1" x14ac:dyDescent="0.3">
      <c r="A115" s="5"/>
      <c r="B115" s="5"/>
      <c r="C115" s="5"/>
      <c r="D115" s="5"/>
      <c r="E115" s="5"/>
      <c r="F115" s="5"/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8"/>
      <c r="AF115" s="8"/>
      <c r="AG115" s="8"/>
      <c r="AH115" s="8"/>
    </row>
    <row r="116" spans="1:34" ht="15.75" customHeight="1" x14ac:dyDescent="0.3">
      <c r="A116" s="5"/>
      <c r="B116" s="5"/>
      <c r="C116" s="5"/>
      <c r="D116" s="5"/>
      <c r="E116" s="5"/>
      <c r="F116" s="5"/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8"/>
      <c r="AF116" s="8"/>
      <c r="AG116" s="8"/>
      <c r="AH116" s="8"/>
    </row>
    <row r="117" spans="1:34" ht="15.75" customHeight="1" x14ac:dyDescent="0.3">
      <c r="A117" s="5"/>
      <c r="B117" s="5"/>
      <c r="C117" s="5"/>
      <c r="D117" s="5"/>
      <c r="E117" s="5"/>
      <c r="F117" s="5"/>
      <c r="G117" s="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8"/>
      <c r="AF117" s="8"/>
      <c r="AG117" s="8"/>
      <c r="AH117" s="8"/>
    </row>
    <row r="118" spans="1:34" ht="15.75" customHeight="1" x14ac:dyDescent="0.3">
      <c r="A118" s="5"/>
      <c r="B118" s="5"/>
      <c r="C118" s="5"/>
      <c r="D118" s="5"/>
      <c r="E118" s="5"/>
      <c r="F118" s="5"/>
      <c r="G118" s="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8"/>
      <c r="AF118" s="8"/>
      <c r="AG118" s="8"/>
      <c r="AH118" s="8"/>
    </row>
    <row r="119" spans="1:34" ht="15.75" customHeight="1" x14ac:dyDescent="0.3">
      <c r="A119" s="5"/>
      <c r="B119" s="5"/>
      <c r="C119" s="5"/>
      <c r="D119" s="5"/>
      <c r="E119" s="5"/>
      <c r="F119" s="5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8"/>
      <c r="AF119" s="8"/>
      <c r="AG119" s="8"/>
      <c r="AH119" s="8"/>
    </row>
    <row r="120" spans="1:34" ht="15.75" customHeight="1" x14ac:dyDescent="0.3">
      <c r="A120" s="5"/>
      <c r="B120" s="5"/>
      <c r="C120" s="5"/>
      <c r="D120" s="5"/>
      <c r="E120" s="5"/>
      <c r="F120" s="5"/>
      <c r="G120" s="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8"/>
      <c r="AF120" s="8"/>
      <c r="AG120" s="8"/>
      <c r="AH120" s="8"/>
    </row>
    <row r="121" spans="1:34" ht="15.75" customHeight="1" x14ac:dyDescent="0.3">
      <c r="A121" s="5"/>
      <c r="B121" s="5"/>
      <c r="C121" s="5"/>
      <c r="D121" s="5"/>
      <c r="E121" s="5"/>
      <c r="F121" s="5"/>
      <c r="G121" s="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8"/>
      <c r="AF121" s="8"/>
      <c r="AG121" s="8"/>
      <c r="AH121" s="8"/>
    </row>
    <row r="122" spans="1:34" ht="15.75" customHeight="1" x14ac:dyDescent="0.3">
      <c r="A122" s="5"/>
      <c r="B122" s="5"/>
      <c r="C122" s="5"/>
      <c r="D122" s="5"/>
      <c r="E122" s="5"/>
      <c r="F122" s="5"/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8"/>
      <c r="AF122" s="8"/>
      <c r="AG122" s="8"/>
      <c r="AH122" s="8"/>
    </row>
    <row r="123" spans="1:34" ht="15.75" customHeight="1" x14ac:dyDescent="0.3">
      <c r="A123" s="5"/>
      <c r="B123" s="5"/>
      <c r="C123" s="5"/>
      <c r="D123" s="5"/>
      <c r="E123" s="5"/>
      <c r="F123" s="5"/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8"/>
      <c r="AF123" s="8"/>
      <c r="AG123" s="8"/>
      <c r="AH123" s="8"/>
    </row>
    <row r="124" spans="1:34" ht="15.75" customHeight="1" x14ac:dyDescent="0.3">
      <c r="A124" s="5"/>
      <c r="B124" s="5"/>
      <c r="C124" s="5"/>
      <c r="D124" s="5"/>
      <c r="E124" s="5"/>
      <c r="F124" s="5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8"/>
      <c r="AF124" s="8"/>
      <c r="AG124" s="8"/>
      <c r="AH124" s="8"/>
    </row>
    <row r="125" spans="1:34" ht="15.75" customHeight="1" x14ac:dyDescent="0.3">
      <c r="A125" s="5"/>
      <c r="B125" s="5"/>
      <c r="C125" s="5"/>
      <c r="D125" s="5"/>
      <c r="E125" s="5"/>
      <c r="F125" s="5"/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8"/>
      <c r="AF125" s="8"/>
      <c r="AG125" s="8"/>
      <c r="AH125" s="8"/>
    </row>
    <row r="126" spans="1:34" ht="15.75" customHeight="1" x14ac:dyDescent="0.3">
      <c r="A126" s="5"/>
      <c r="B126" s="5"/>
      <c r="C126" s="5"/>
      <c r="D126" s="5"/>
      <c r="E126" s="5"/>
      <c r="F126" s="5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8"/>
      <c r="AF126" s="8"/>
      <c r="AG126" s="8"/>
      <c r="AH126" s="8"/>
    </row>
    <row r="127" spans="1:34" ht="15.75" customHeight="1" x14ac:dyDescent="0.3">
      <c r="A127" s="5"/>
      <c r="B127" s="5"/>
      <c r="C127" s="5"/>
      <c r="D127" s="5"/>
      <c r="E127" s="5"/>
      <c r="F127" s="5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8"/>
      <c r="AF127" s="8"/>
      <c r="AG127" s="8"/>
      <c r="AH127" s="8"/>
    </row>
    <row r="128" spans="1:34" ht="15.75" customHeight="1" x14ac:dyDescent="0.3">
      <c r="A128" s="5"/>
      <c r="B128" s="5"/>
      <c r="C128" s="5"/>
      <c r="D128" s="5"/>
      <c r="E128" s="5"/>
      <c r="F128" s="5"/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8"/>
      <c r="AF128" s="8"/>
      <c r="AG128" s="8"/>
      <c r="AH128" s="8"/>
    </row>
    <row r="129" spans="1:34" ht="15.75" customHeight="1" x14ac:dyDescent="0.3">
      <c r="A129" s="5"/>
      <c r="B129" s="5"/>
      <c r="C129" s="5"/>
      <c r="D129" s="5"/>
      <c r="E129" s="5"/>
      <c r="F129" s="5"/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8"/>
      <c r="AF129" s="8"/>
      <c r="AG129" s="8"/>
      <c r="AH129" s="8"/>
    </row>
    <row r="130" spans="1:34" ht="15.75" customHeight="1" x14ac:dyDescent="0.3">
      <c r="A130" s="5"/>
      <c r="B130" s="5"/>
      <c r="C130" s="5"/>
      <c r="D130" s="5"/>
      <c r="E130" s="5"/>
      <c r="F130" s="5"/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8"/>
      <c r="AF130" s="8"/>
      <c r="AG130" s="8"/>
      <c r="AH130" s="8"/>
    </row>
    <row r="131" spans="1:34" ht="15.75" customHeight="1" x14ac:dyDescent="0.3">
      <c r="A131" s="5"/>
      <c r="B131" s="5"/>
      <c r="C131" s="5"/>
      <c r="D131" s="5"/>
      <c r="E131" s="5"/>
      <c r="F131" s="5"/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8"/>
      <c r="AF131" s="8"/>
      <c r="AG131" s="8"/>
      <c r="AH131" s="8"/>
    </row>
    <row r="132" spans="1:34" ht="15.75" customHeight="1" x14ac:dyDescent="0.3">
      <c r="A132" s="5"/>
      <c r="B132" s="5"/>
      <c r="C132" s="5"/>
      <c r="D132" s="5"/>
      <c r="E132" s="5"/>
      <c r="F132" s="5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8"/>
      <c r="AF132" s="8"/>
      <c r="AG132" s="8"/>
      <c r="AH132" s="8"/>
    </row>
    <row r="133" spans="1:34" ht="15.75" customHeight="1" x14ac:dyDescent="0.3">
      <c r="A133" s="5"/>
      <c r="B133" s="5"/>
      <c r="C133" s="5"/>
      <c r="D133" s="5"/>
      <c r="E133" s="5"/>
      <c r="F133" s="5"/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8"/>
      <c r="AF133" s="8"/>
      <c r="AG133" s="8"/>
      <c r="AH133" s="8"/>
    </row>
    <row r="134" spans="1:34" ht="15.75" customHeight="1" x14ac:dyDescent="0.3">
      <c r="A134" s="5"/>
      <c r="B134" s="5"/>
      <c r="C134" s="5"/>
      <c r="D134" s="5"/>
      <c r="E134" s="5"/>
      <c r="F134" s="5"/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8"/>
      <c r="AF134" s="8"/>
      <c r="AG134" s="8"/>
      <c r="AH134" s="8"/>
    </row>
    <row r="135" spans="1:34" ht="15.75" customHeight="1" x14ac:dyDescent="0.3">
      <c r="A135" s="5"/>
      <c r="B135" s="5"/>
      <c r="C135" s="5"/>
      <c r="D135" s="5"/>
      <c r="E135" s="5"/>
      <c r="F135" s="5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8"/>
      <c r="AF135" s="8"/>
      <c r="AG135" s="8"/>
      <c r="AH135" s="8"/>
    </row>
    <row r="136" spans="1:34" ht="15.75" customHeight="1" x14ac:dyDescent="0.3">
      <c r="A136" s="5"/>
      <c r="B136" s="5"/>
      <c r="C136" s="5"/>
      <c r="D136" s="5"/>
      <c r="E136" s="5"/>
      <c r="F136" s="5"/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8"/>
      <c r="AF136" s="8"/>
      <c r="AG136" s="8"/>
      <c r="AH136" s="8"/>
    </row>
    <row r="137" spans="1:34" ht="15.75" customHeight="1" x14ac:dyDescent="0.3">
      <c r="A137" s="5"/>
      <c r="B137" s="5"/>
      <c r="C137" s="5"/>
      <c r="D137" s="5"/>
      <c r="E137" s="5"/>
      <c r="F137" s="5"/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8"/>
      <c r="AF137" s="8"/>
      <c r="AG137" s="8"/>
      <c r="AH137" s="8"/>
    </row>
    <row r="138" spans="1:34" ht="15.75" customHeight="1" x14ac:dyDescent="0.3">
      <c r="A138" s="5"/>
      <c r="B138" s="5"/>
      <c r="C138" s="5"/>
      <c r="D138" s="5"/>
      <c r="E138" s="5"/>
      <c r="F138" s="5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8"/>
      <c r="AF138" s="8"/>
      <c r="AG138" s="8"/>
      <c r="AH138" s="8"/>
    </row>
    <row r="139" spans="1:34" ht="15.75" customHeight="1" x14ac:dyDescent="0.3">
      <c r="A139" s="5"/>
      <c r="B139" s="5"/>
      <c r="C139" s="5"/>
      <c r="D139" s="5"/>
      <c r="E139" s="5"/>
      <c r="F139" s="5"/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8"/>
      <c r="AF139" s="8"/>
      <c r="AG139" s="8"/>
      <c r="AH139" s="8"/>
    </row>
    <row r="140" spans="1:34" ht="15.75" customHeight="1" x14ac:dyDescent="0.3">
      <c r="A140" s="5"/>
      <c r="B140" s="5"/>
      <c r="C140" s="5"/>
      <c r="D140" s="5"/>
      <c r="E140" s="5"/>
      <c r="F140" s="5"/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8"/>
      <c r="AF140" s="8"/>
      <c r="AG140" s="8"/>
      <c r="AH140" s="8"/>
    </row>
    <row r="141" spans="1:34" ht="15.75" customHeight="1" x14ac:dyDescent="0.3">
      <c r="A141" s="5"/>
      <c r="B141" s="5"/>
      <c r="C141" s="5"/>
      <c r="D141" s="5"/>
      <c r="E141" s="5"/>
      <c r="F141" s="5"/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8"/>
      <c r="AF141" s="8"/>
      <c r="AG141" s="8"/>
      <c r="AH141" s="8"/>
    </row>
    <row r="142" spans="1:34" ht="15.75" customHeight="1" x14ac:dyDescent="0.3">
      <c r="A142" s="5"/>
      <c r="B142" s="5"/>
      <c r="C142" s="5"/>
      <c r="D142" s="5"/>
      <c r="E142" s="5"/>
      <c r="F142" s="5"/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8"/>
      <c r="AF142" s="8"/>
      <c r="AG142" s="8"/>
      <c r="AH142" s="8"/>
    </row>
    <row r="143" spans="1:34" ht="15.75" customHeight="1" x14ac:dyDescent="0.3">
      <c r="A143" s="5"/>
      <c r="B143" s="5"/>
      <c r="C143" s="5"/>
      <c r="D143" s="5"/>
      <c r="E143" s="5"/>
      <c r="F143" s="5"/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8"/>
      <c r="AF143" s="8"/>
      <c r="AG143" s="8"/>
      <c r="AH143" s="8"/>
    </row>
    <row r="144" spans="1:34" ht="15.75" customHeight="1" x14ac:dyDescent="0.3">
      <c r="A144" s="5"/>
      <c r="B144" s="5"/>
      <c r="C144" s="5"/>
      <c r="D144" s="5"/>
      <c r="E144" s="5"/>
      <c r="F144" s="5"/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8"/>
      <c r="AF144" s="8"/>
      <c r="AG144" s="8"/>
      <c r="AH144" s="8"/>
    </row>
    <row r="145" spans="1:34" ht="15.75" customHeight="1" x14ac:dyDescent="0.3">
      <c r="A145" s="5"/>
      <c r="B145" s="5"/>
      <c r="C145" s="5"/>
      <c r="D145" s="5"/>
      <c r="E145" s="5"/>
      <c r="F145" s="5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8"/>
      <c r="AF145" s="8"/>
      <c r="AG145" s="8"/>
      <c r="AH145" s="8"/>
    </row>
    <row r="146" spans="1:34" ht="15.75" customHeight="1" x14ac:dyDescent="0.3">
      <c r="A146" s="5"/>
      <c r="B146" s="5"/>
      <c r="C146" s="5"/>
      <c r="D146" s="5"/>
      <c r="E146" s="5"/>
      <c r="F146" s="5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8"/>
      <c r="AF146" s="8"/>
      <c r="AG146" s="8"/>
      <c r="AH146" s="8"/>
    </row>
    <row r="147" spans="1:34" ht="15.75" customHeight="1" x14ac:dyDescent="0.3">
      <c r="A147" s="5"/>
      <c r="B147" s="5"/>
      <c r="C147" s="5"/>
      <c r="D147" s="5"/>
      <c r="E147" s="5"/>
      <c r="F147" s="5"/>
      <c r="G147" s="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8"/>
      <c r="AF147" s="8"/>
      <c r="AG147" s="8"/>
      <c r="AH147" s="8"/>
    </row>
    <row r="148" spans="1:34" ht="15.75" customHeight="1" x14ac:dyDescent="0.3">
      <c r="A148" s="5"/>
      <c r="B148" s="5"/>
      <c r="C148" s="5"/>
      <c r="D148" s="5"/>
      <c r="E148" s="5"/>
      <c r="F148" s="5"/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8"/>
      <c r="AF148" s="8"/>
      <c r="AG148" s="8"/>
      <c r="AH148" s="8"/>
    </row>
    <row r="149" spans="1:34" ht="15.75" customHeight="1" x14ac:dyDescent="0.3">
      <c r="A149" s="5"/>
      <c r="B149" s="5"/>
      <c r="C149" s="5"/>
      <c r="D149" s="5"/>
      <c r="E149" s="5"/>
      <c r="F149" s="5"/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8"/>
      <c r="AF149" s="8"/>
      <c r="AG149" s="8"/>
      <c r="AH149" s="8"/>
    </row>
    <row r="150" spans="1:34" ht="15.75" customHeight="1" x14ac:dyDescent="0.3">
      <c r="A150" s="5"/>
      <c r="B150" s="5"/>
      <c r="C150" s="5"/>
      <c r="D150" s="5"/>
      <c r="E150" s="5"/>
      <c r="F150" s="5"/>
      <c r="G150" s="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8"/>
      <c r="AF150" s="8"/>
      <c r="AG150" s="8"/>
      <c r="AH150" s="8"/>
    </row>
    <row r="151" spans="1:34" ht="15.75" customHeight="1" x14ac:dyDescent="0.3">
      <c r="A151" s="5"/>
      <c r="B151" s="5"/>
      <c r="C151" s="5"/>
      <c r="D151" s="5"/>
      <c r="E151" s="5"/>
      <c r="F151" s="5"/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8"/>
      <c r="AF151" s="8"/>
      <c r="AG151" s="8"/>
      <c r="AH151" s="8"/>
    </row>
    <row r="152" spans="1:34" ht="15.75" customHeight="1" x14ac:dyDescent="0.3">
      <c r="A152" s="5"/>
      <c r="B152" s="5"/>
      <c r="C152" s="5"/>
      <c r="D152" s="5"/>
      <c r="E152" s="5"/>
      <c r="F152" s="5"/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8"/>
      <c r="AF152" s="8"/>
      <c r="AG152" s="8"/>
      <c r="AH152" s="8"/>
    </row>
    <row r="153" spans="1:34" ht="15.75" customHeight="1" x14ac:dyDescent="0.3">
      <c r="A153" s="5"/>
      <c r="B153" s="5"/>
      <c r="C153" s="5"/>
      <c r="D153" s="5"/>
      <c r="E153" s="5"/>
      <c r="F153" s="5"/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8"/>
      <c r="AF153" s="8"/>
      <c r="AG153" s="8"/>
      <c r="AH153" s="8"/>
    </row>
    <row r="154" spans="1:34" ht="15.75" customHeight="1" x14ac:dyDescent="0.3">
      <c r="A154" s="5"/>
      <c r="B154" s="5"/>
      <c r="C154" s="5"/>
      <c r="D154" s="5"/>
      <c r="E154" s="5"/>
      <c r="F154" s="5"/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8"/>
      <c r="AF154" s="8"/>
      <c r="AG154" s="8"/>
      <c r="AH154" s="8"/>
    </row>
    <row r="155" spans="1:34" ht="15.75" customHeight="1" x14ac:dyDescent="0.3">
      <c r="A155" s="5"/>
      <c r="B155" s="5"/>
      <c r="C155" s="5"/>
      <c r="D155" s="5"/>
      <c r="E155" s="5"/>
      <c r="F155" s="5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8"/>
      <c r="AF155" s="8"/>
      <c r="AG155" s="8"/>
      <c r="AH155" s="8"/>
    </row>
    <row r="156" spans="1:34" ht="15.75" customHeight="1" x14ac:dyDescent="0.3">
      <c r="A156" s="5"/>
      <c r="B156" s="5"/>
      <c r="C156" s="5"/>
      <c r="D156" s="5"/>
      <c r="E156" s="5"/>
      <c r="F156" s="5"/>
      <c r="G156" s="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8"/>
      <c r="AF156" s="8"/>
      <c r="AG156" s="8"/>
      <c r="AH156" s="8"/>
    </row>
    <row r="157" spans="1:34" ht="15.75" customHeight="1" x14ac:dyDescent="0.3">
      <c r="A157" s="5"/>
      <c r="B157" s="5"/>
      <c r="C157" s="5"/>
      <c r="D157" s="5"/>
      <c r="E157" s="5"/>
      <c r="F157" s="5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8"/>
      <c r="AF157" s="8"/>
      <c r="AG157" s="8"/>
      <c r="AH157" s="8"/>
    </row>
    <row r="158" spans="1:34" ht="15.75" customHeight="1" x14ac:dyDescent="0.3">
      <c r="A158" s="5"/>
      <c r="B158" s="5"/>
      <c r="C158" s="5"/>
      <c r="D158" s="5"/>
      <c r="E158" s="5"/>
      <c r="F158" s="5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8"/>
      <c r="AF158" s="8"/>
      <c r="AG158" s="8"/>
      <c r="AH158" s="8"/>
    </row>
    <row r="159" spans="1:34" ht="15.75" customHeight="1" x14ac:dyDescent="0.3">
      <c r="A159" s="5"/>
      <c r="B159" s="5"/>
      <c r="C159" s="5"/>
      <c r="D159" s="5"/>
      <c r="E159" s="5"/>
      <c r="F159" s="5"/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8"/>
      <c r="AF159" s="8"/>
      <c r="AG159" s="8"/>
      <c r="AH159" s="8"/>
    </row>
    <row r="160" spans="1:34" ht="15.75" customHeight="1" x14ac:dyDescent="0.3">
      <c r="A160" s="5"/>
      <c r="B160" s="5"/>
      <c r="C160" s="5"/>
      <c r="D160" s="5"/>
      <c r="E160" s="5"/>
      <c r="F160" s="5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8"/>
      <c r="AF160" s="8"/>
      <c r="AG160" s="8"/>
      <c r="AH160" s="8"/>
    </row>
    <row r="161" spans="1:34" ht="15.75" customHeight="1" x14ac:dyDescent="0.3">
      <c r="A161" s="5"/>
      <c r="B161" s="5"/>
      <c r="C161" s="5"/>
      <c r="D161" s="5"/>
      <c r="E161" s="5"/>
      <c r="F161" s="5"/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8"/>
      <c r="AF161" s="8"/>
      <c r="AG161" s="8"/>
      <c r="AH161" s="8"/>
    </row>
    <row r="162" spans="1:34" ht="15.75" customHeight="1" x14ac:dyDescent="0.3">
      <c r="A162" s="5"/>
      <c r="B162" s="5"/>
      <c r="C162" s="5"/>
      <c r="D162" s="5"/>
      <c r="E162" s="5"/>
      <c r="F162" s="5"/>
      <c r="G162" s="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8"/>
      <c r="AF162" s="8"/>
      <c r="AG162" s="8"/>
      <c r="AH162" s="8"/>
    </row>
    <row r="163" spans="1:34" ht="15.75" customHeight="1" x14ac:dyDescent="0.3">
      <c r="A163" s="5"/>
      <c r="B163" s="5"/>
      <c r="C163" s="5"/>
      <c r="D163" s="5"/>
      <c r="E163" s="5"/>
      <c r="F163" s="5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8"/>
      <c r="AF163" s="8"/>
      <c r="AG163" s="8"/>
      <c r="AH163" s="8"/>
    </row>
    <row r="164" spans="1:34" ht="15.75" customHeight="1" x14ac:dyDescent="0.3">
      <c r="A164" s="5"/>
      <c r="B164" s="5"/>
      <c r="C164" s="5"/>
      <c r="D164" s="5"/>
      <c r="E164" s="5"/>
      <c r="F164" s="5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8"/>
      <c r="AF164" s="8"/>
      <c r="AG164" s="8"/>
      <c r="AH164" s="8"/>
    </row>
    <row r="165" spans="1:34" ht="15.75" customHeight="1" x14ac:dyDescent="0.3">
      <c r="A165" s="5"/>
      <c r="B165" s="5"/>
      <c r="C165" s="5"/>
      <c r="D165" s="5"/>
      <c r="E165" s="5"/>
      <c r="F165" s="5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8"/>
      <c r="AF165" s="8"/>
      <c r="AG165" s="8"/>
      <c r="AH165" s="8"/>
    </row>
    <row r="166" spans="1:34" ht="15.75" customHeight="1" x14ac:dyDescent="0.3">
      <c r="A166" s="5"/>
      <c r="B166" s="5"/>
      <c r="C166" s="5"/>
      <c r="D166" s="5"/>
      <c r="E166" s="5"/>
      <c r="F166" s="5"/>
      <c r="G166" s="4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8"/>
      <c r="AF166" s="8"/>
      <c r="AG166" s="8"/>
      <c r="AH166" s="8"/>
    </row>
    <row r="167" spans="1:34" ht="15.75" customHeight="1" x14ac:dyDescent="0.3">
      <c r="A167" s="5"/>
      <c r="B167" s="5"/>
      <c r="C167" s="5"/>
      <c r="D167" s="5"/>
      <c r="E167" s="5"/>
      <c r="F167" s="5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8"/>
      <c r="AF167" s="8"/>
      <c r="AG167" s="8"/>
      <c r="AH167" s="8"/>
    </row>
    <row r="168" spans="1:34" ht="15.75" customHeight="1" x14ac:dyDescent="0.3">
      <c r="A168" s="5"/>
      <c r="B168" s="5"/>
      <c r="C168" s="5"/>
      <c r="D168" s="5"/>
      <c r="E168" s="5"/>
      <c r="F168" s="5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8"/>
      <c r="AF168" s="8"/>
      <c r="AG168" s="8"/>
      <c r="AH168" s="8"/>
    </row>
    <row r="169" spans="1:34" ht="15.75" customHeight="1" x14ac:dyDescent="0.3">
      <c r="A169" s="5"/>
      <c r="B169" s="5"/>
      <c r="C169" s="5"/>
      <c r="D169" s="5"/>
      <c r="E169" s="5"/>
      <c r="F169" s="5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8"/>
      <c r="AF169" s="8"/>
      <c r="AG169" s="8"/>
      <c r="AH169" s="8"/>
    </row>
    <row r="170" spans="1:34" ht="15.75" customHeight="1" x14ac:dyDescent="0.3">
      <c r="A170" s="5"/>
      <c r="B170" s="5"/>
      <c r="C170" s="5"/>
      <c r="D170" s="5"/>
      <c r="E170" s="5"/>
      <c r="F170" s="5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8"/>
      <c r="AF170" s="8"/>
      <c r="AG170" s="8"/>
      <c r="AH170" s="8"/>
    </row>
    <row r="171" spans="1:34" ht="15.75" customHeight="1" x14ac:dyDescent="0.3">
      <c r="A171" s="5"/>
      <c r="B171" s="5"/>
      <c r="C171" s="5"/>
      <c r="D171" s="5"/>
      <c r="E171" s="5"/>
      <c r="F171" s="5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8"/>
      <c r="AF171" s="8"/>
      <c r="AG171" s="8"/>
      <c r="AH171" s="8"/>
    </row>
    <row r="172" spans="1:34" ht="15.75" customHeight="1" x14ac:dyDescent="0.3">
      <c r="A172" s="5"/>
      <c r="B172" s="5"/>
      <c r="C172" s="5"/>
      <c r="D172" s="5"/>
      <c r="E172" s="5"/>
      <c r="F172" s="5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8"/>
      <c r="AF172" s="8"/>
      <c r="AG172" s="8"/>
      <c r="AH172" s="8"/>
    </row>
    <row r="173" spans="1:34" ht="15.75" customHeight="1" x14ac:dyDescent="0.3">
      <c r="A173" s="5"/>
      <c r="B173" s="5"/>
      <c r="C173" s="5"/>
      <c r="D173" s="5"/>
      <c r="E173" s="5"/>
      <c r="F173" s="5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8"/>
      <c r="AF173" s="8"/>
      <c r="AG173" s="8"/>
      <c r="AH173" s="8"/>
    </row>
    <row r="174" spans="1:34" ht="15.75" customHeight="1" x14ac:dyDescent="0.3">
      <c r="A174" s="5"/>
      <c r="B174" s="5"/>
      <c r="C174" s="5"/>
      <c r="D174" s="5"/>
      <c r="E174" s="5"/>
      <c r="F174" s="5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8"/>
      <c r="AF174" s="8"/>
      <c r="AG174" s="8"/>
      <c r="AH174" s="8"/>
    </row>
    <row r="175" spans="1:34" ht="15.75" customHeight="1" x14ac:dyDescent="0.3">
      <c r="A175" s="5"/>
      <c r="B175" s="5"/>
      <c r="C175" s="5"/>
      <c r="D175" s="5"/>
      <c r="E175" s="5"/>
      <c r="F175" s="5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8"/>
      <c r="AF175" s="8"/>
      <c r="AG175" s="8"/>
      <c r="AH175" s="8"/>
    </row>
    <row r="176" spans="1:34" ht="15.75" customHeight="1" x14ac:dyDescent="0.3">
      <c r="A176" s="5"/>
      <c r="B176" s="5"/>
      <c r="C176" s="5"/>
      <c r="D176" s="5"/>
      <c r="E176" s="5"/>
      <c r="F176" s="5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8"/>
      <c r="AF176" s="8"/>
      <c r="AG176" s="8"/>
      <c r="AH176" s="8"/>
    </row>
    <row r="177" spans="1:34" ht="15.75" customHeight="1" x14ac:dyDescent="0.3">
      <c r="A177" s="5"/>
      <c r="B177" s="5"/>
      <c r="C177" s="5"/>
      <c r="D177" s="5"/>
      <c r="E177" s="5"/>
      <c r="F177" s="5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8"/>
      <c r="AF177" s="8"/>
      <c r="AG177" s="8"/>
      <c r="AH177" s="8"/>
    </row>
    <row r="178" spans="1:34" ht="15.75" customHeight="1" x14ac:dyDescent="0.3">
      <c r="A178" s="5"/>
      <c r="B178" s="5"/>
      <c r="C178" s="5"/>
      <c r="D178" s="5"/>
      <c r="E178" s="5"/>
      <c r="F178" s="5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8"/>
      <c r="AF178" s="8"/>
      <c r="AG178" s="8"/>
      <c r="AH178" s="8"/>
    </row>
    <row r="179" spans="1:34" ht="15.75" customHeight="1" x14ac:dyDescent="0.3">
      <c r="A179" s="5"/>
      <c r="B179" s="5"/>
      <c r="C179" s="5"/>
      <c r="D179" s="5"/>
      <c r="E179" s="5"/>
      <c r="F179" s="5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8"/>
      <c r="AF179" s="8"/>
      <c r="AG179" s="8"/>
      <c r="AH179" s="8"/>
    </row>
    <row r="180" spans="1:34" ht="15.75" customHeight="1" x14ac:dyDescent="0.3">
      <c r="A180" s="5"/>
      <c r="B180" s="5"/>
      <c r="C180" s="5"/>
      <c r="D180" s="5"/>
      <c r="E180" s="5"/>
      <c r="F180" s="5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8"/>
      <c r="AF180" s="8"/>
      <c r="AG180" s="8"/>
      <c r="AH180" s="8"/>
    </row>
    <row r="181" spans="1:34" ht="15.75" customHeight="1" x14ac:dyDescent="0.3">
      <c r="A181" s="5"/>
      <c r="B181" s="5"/>
      <c r="C181" s="5"/>
      <c r="D181" s="5"/>
      <c r="E181" s="5"/>
      <c r="F181" s="5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8"/>
      <c r="AF181" s="8"/>
      <c r="AG181" s="8"/>
      <c r="AH181" s="8"/>
    </row>
    <row r="182" spans="1:34" ht="15.75" customHeight="1" x14ac:dyDescent="0.3">
      <c r="A182" s="5"/>
      <c r="B182" s="5"/>
      <c r="C182" s="5"/>
      <c r="D182" s="5"/>
      <c r="E182" s="5"/>
      <c r="F182" s="5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8"/>
      <c r="AF182" s="8"/>
      <c r="AG182" s="8"/>
      <c r="AH182" s="8"/>
    </row>
    <row r="183" spans="1:34" ht="15.75" customHeight="1" x14ac:dyDescent="0.3">
      <c r="A183" s="5"/>
      <c r="B183" s="5"/>
      <c r="C183" s="5"/>
      <c r="D183" s="5"/>
      <c r="E183" s="5"/>
      <c r="F183" s="5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8"/>
      <c r="AF183" s="8"/>
      <c r="AG183" s="8"/>
      <c r="AH183" s="8"/>
    </row>
    <row r="184" spans="1:34" ht="15.75" customHeight="1" x14ac:dyDescent="0.3">
      <c r="A184" s="5"/>
      <c r="B184" s="5"/>
      <c r="C184" s="5"/>
      <c r="D184" s="5"/>
      <c r="E184" s="5"/>
      <c r="F184" s="5"/>
      <c r="G184" s="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8"/>
      <c r="AF184" s="8"/>
      <c r="AG184" s="8"/>
      <c r="AH184" s="8"/>
    </row>
    <row r="185" spans="1:34" ht="15.75" customHeight="1" x14ac:dyDescent="0.3">
      <c r="A185" s="5"/>
      <c r="B185" s="5"/>
      <c r="C185" s="5"/>
      <c r="D185" s="5"/>
      <c r="E185" s="5"/>
      <c r="F185" s="5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8"/>
      <c r="AF185" s="8"/>
      <c r="AG185" s="8"/>
      <c r="AH185" s="8"/>
    </row>
    <row r="186" spans="1:34" ht="15.75" customHeight="1" x14ac:dyDescent="0.3">
      <c r="A186" s="5"/>
      <c r="B186" s="5"/>
      <c r="C186" s="5"/>
      <c r="D186" s="5"/>
      <c r="E186" s="5"/>
      <c r="F186" s="5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8"/>
      <c r="AF186" s="8"/>
      <c r="AG186" s="8"/>
      <c r="AH186" s="8"/>
    </row>
    <row r="187" spans="1:34" ht="15.75" customHeight="1" x14ac:dyDescent="0.3">
      <c r="A187" s="5"/>
      <c r="B187" s="5"/>
      <c r="C187" s="5"/>
      <c r="D187" s="5"/>
      <c r="E187" s="5"/>
      <c r="F187" s="5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8"/>
      <c r="AF187" s="8"/>
      <c r="AG187" s="8"/>
      <c r="AH187" s="8"/>
    </row>
    <row r="188" spans="1:34" ht="15.75" customHeight="1" x14ac:dyDescent="0.3">
      <c r="A188" s="5"/>
      <c r="B188" s="5"/>
      <c r="C188" s="5"/>
      <c r="D188" s="5"/>
      <c r="E188" s="5"/>
      <c r="F188" s="5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8"/>
      <c r="AF188" s="8"/>
      <c r="AG188" s="8"/>
      <c r="AH188" s="8"/>
    </row>
    <row r="189" spans="1:34" ht="15.75" customHeight="1" x14ac:dyDescent="0.3">
      <c r="A189" s="5"/>
      <c r="B189" s="5"/>
      <c r="C189" s="5"/>
      <c r="D189" s="5"/>
      <c r="E189" s="5"/>
      <c r="F189" s="5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8"/>
      <c r="AF189" s="8"/>
      <c r="AG189" s="8"/>
      <c r="AH189" s="8"/>
    </row>
    <row r="190" spans="1:34" ht="15.75" customHeight="1" x14ac:dyDescent="0.3">
      <c r="A190" s="5"/>
      <c r="B190" s="5"/>
      <c r="C190" s="5"/>
      <c r="D190" s="5"/>
      <c r="E190" s="5"/>
      <c r="F190" s="5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8"/>
      <c r="AF190" s="8"/>
      <c r="AG190" s="8"/>
      <c r="AH190" s="8"/>
    </row>
    <row r="191" spans="1:34" ht="15.75" customHeight="1" x14ac:dyDescent="0.3">
      <c r="A191" s="5"/>
      <c r="B191" s="5"/>
      <c r="C191" s="5"/>
      <c r="D191" s="5"/>
      <c r="E191" s="5"/>
      <c r="F191" s="5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8"/>
      <c r="AF191" s="8"/>
      <c r="AG191" s="8"/>
      <c r="AH191" s="8"/>
    </row>
    <row r="192" spans="1:34" ht="15.75" customHeight="1" x14ac:dyDescent="0.3">
      <c r="A192" s="5"/>
      <c r="B192" s="5"/>
      <c r="C192" s="5"/>
      <c r="D192" s="5"/>
      <c r="E192" s="5"/>
      <c r="F192" s="5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8"/>
      <c r="AF192" s="8"/>
      <c r="AG192" s="8"/>
      <c r="AH192" s="8"/>
    </row>
    <row r="193" spans="1:34" ht="15.75" customHeight="1" x14ac:dyDescent="0.3">
      <c r="A193" s="5"/>
      <c r="B193" s="5"/>
      <c r="C193" s="5"/>
      <c r="D193" s="5"/>
      <c r="E193" s="5"/>
      <c r="F193" s="5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8"/>
      <c r="AF193" s="8"/>
      <c r="AG193" s="8"/>
      <c r="AH193" s="8"/>
    </row>
    <row r="194" spans="1:34" ht="15.75" customHeight="1" x14ac:dyDescent="0.3">
      <c r="A194" s="5"/>
      <c r="B194" s="5"/>
      <c r="C194" s="5"/>
      <c r="D194" s="5"/>
      <c r="E194" s="5"/>
      <c r="F194" s="5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8"/>
      <c r="AF194" s="8"/>
      <c r="AG194" s="8"/>
      <c r="AH194" s="8"/>
    </row>
    <row r="195" spans="1:34" ht="15.75" customHeight="1" x14ac:dyDescent="0.3">
      <c r="A195" s="5"/>
      <c r="B195" s="5"/>
      <c r="C195" s="5"/>
      <c r="D195" s="5"/>
      <c r="E195" s="5"/>
      <c r="F195" s="5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8"/>
      <c r="AF195" s="8"/>
      <c r="AG195" s="8"/>
      <c r="AH195" s="8"/>
    </row>
    <row r="196" spans="1:34" ht="15.75" customHeight="1" x14ac:dyDescent="0.3">
      <c r="A196" s="5"/>
      <c r="B196" s="5"/>
      <c r="C196" s="5"/>
      <c r="D196" s="5"/>
      <c r="E196" s="5"/>
      <c r="F196" s="5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8"/>
      <c r="AF196" s="8"/>
      <c r="AG196" s="8"/>
      <c r="AH196" s="8"/>
    </row>
    <row r="197" spans="1:34" ht="15.75" customHeight="1" x14ac:dyDescent="0.3">
      <c r="A197" s="5"/>
      <c r="B197" s="5"/>
      <c r="C197" s="5"/>
      <c r="D197" s="5"/>
      <c r="E197" s="5"/>
      <c r="F197" s="5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8"/>
      <c r="AF197" s="8"/>
      <c r="AG197" s="8"/>
      <c r="AH197" s="8"/>
    </row>
    <row r="198" spans="1:34" ht="15.75" customHeight="1" x14ac:dyDescent="0.3">
      <c r="A198" s="5"/>
      <c r="B198" s="5"/>
      <c r="C198" s="5"/>
      <c r="D198" s="5"/>
      <c r="E198" s="5"/>
      <c r="F198" s="5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8"/>
      <c r="AF198" s="8"/>
      <c r="AG198" s="8"/>
      <c r="AH198" s="8"/>
    </row>
    <row r="199" spans="1:34" ht="15.75" customHeight="1" x14ac:dyDescent="0.3">
      <c r="A199" s="5"/>
      <c r="B199" s="5"/>
      <c r="C199" s="5"/>
      <c r="D199" s="5"/>
      <c r="E199" s="5"/>
      <c r="F199" s="5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8"/>
      <c r="AF199" s="8"/>
      <c r="AG199" s="8"/>
      <c r="AH199" s="8"/>
    </row>
    <row r="200" spans="1:34" ht="15.75" customHeight="1" x14ac:dyDescent="0.3">
      <c r="A200" s="5"/>
      <c r="B200" s="5"/>
      <c r="C200" s="5"/>
      <c r="D200" s="5"/>
      <c r="E200" s="5"/>
      <c r="F200" s="5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8"/>
      <c r="AF200" s="8"/>
      <c r="AG200" s="8"/>
      <c r="AH200" s="8"/>
    </row>
    <row r="201" spans="1:34" ht="15.75" customHeight="1" x14ac:dyDescent="0.3">
      <c r="A201" s="5"/>
      <c r="B201" s="5"/>
      <c r="C201" s="5"/>
      <c r="D201" s="5"/>
      <c r="E201" s="5"/>
      <c r="F201" s="5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8"/>
      <c r="AF201" s="8"/>
      <c r="AG201" s="8"/>
      <c r="AH201" s="8"/>
    </row>
    <row r="202" spans="1:34" ht="15.75" customHeight="1" x14ac:dyDescent="0.3">
      <c r="A202" s="5"/>
      <c r="B202" s="5"/>
      <c r="C202" s="5"/>
      <c r="D202" s="5"/>
      <c r="E202" s="5"/>
      <c r="F202" s="5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8"/>
      <c r="AF202" s="8"/>
      <c r="AG202" s="8"/>
      <c r="AH202" s="8"/>
    </row>
    <row r="203" spans="1:34" ht="15.75" customHeight="1" x14ac:dyDescent="0.3">
      <c r="A203" s="5"/>
      <c r="B203" s="5"/>
      <c r="C203" s="5"/>
      <c r="D203" s="5"/>
      <c r="E203" s="5"/>
      <c r="F203" s="5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8"/>
      <c r="AF203" s="8"/>
      <c r="AG203" s="8"/>
      <c r="AH203" s="8"/>
    </row>
    <row r="204" spans="1:34" ht="15.75" customHeight="1" x14ac:dyDescent="0.3">
      <c r="A204" s="5"/>
      <c r="B204" s="5"/>
      <c r="C204" s="5"/>
      <c r="D204" s="5"/>
      <c r="E204" s="5"/>
      <c r="F204" s="5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8"/>
      <c r="AF204" s="8"/>
      <c r="AG204" s="8"/>
      <c r="AH204" s="8"/>
    </row>
    <row r="205" spans="1:34" ht="15.75" customHeight="1" x14ac:dyDescent="0.3">
      <c r="A205" s="5"/>
      <c r="B205" s="5"/>
      <c r="C205" s="5"/>
      <c r="D205" s="5"/>
      <c r="E205" s="5"/>
      <c r="F205" s="5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8"/>
      <c r="AF205" s="8"/>
      <c r="AG205" s="8"/>
      <c r="AH205" s="8"/>
    </row>
    <row r="206" spans="1:34" ht="15.75" customHeight="1" x14ac:dyDescent="0.3">
      <c r="A206" s="5"/>
      <c r="B206" s="5"/>
      <c r="C206" s="5"/>
      <c r="D206" s="5"/>
      <c r="E206" s="5"/>
      <c r="F206" s="5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8"/>
      <c r="AF206" s="8"/>
      <c r="AG206" s="8"/>
      <c r="AH206" s="8"/>
    </row>
    <row r="207" spans="1:34" ht="15.75" customHeight="1" x14ac:dyDescent="0.3">
      <c r="A207" s="5"/>
      <c r="B207" s="5"/>
      <c r="C207" s="5"/>
      <c r="D207" s="5"/>
      <c r="E207" s="5"/>
      <c r="F207" s="5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8"/>
      <c r="AF207" s="8"/>
      <c r="AG207" s="8"/>
      <c r="AH207" s="8"/>
    </row>
    <row r="208" spans="1:34" ht="15.75" customHeight="1" x14ac:dyDescent="0.3">
      <c r="A208" s="5"/>
      <c r="B208" s="5"/>
      <c r="C208" s="5"/>
      <c r="D208" s="5"/>
      <c r="E208" s="5"/>
      <c r="F208" s="5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8"/>
      <c r="AF208" s="8"/>
      <c r="AG208" s="8"/>
      <c r="AH208" s="8"/>
    </row>
    <row r="209" spans="1:34" ht="15.75" customHeight="1" x14ac:dyDescent="0.3">
      <c r="A209" s="5"/>
      <c r="B209" s="5"/>
      <c r="C209" s="5"/>
      <c r="D209" s="5"/>
      <c r="E209" s="5"/>
      <c r="F209" s="5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8"/>
      <c r="AF209" s="8"/>
      <c r="AG209" s="8"/>
      <c r="AH209" s="8"/>
    </row>
    <row r="210" spans="1:34" ht="15.75" customHeight="1" x14ac:dyDescent="0.3">
      <c r="A210" s="5"/>
      <c r="B210" s="5"/>
      <c r="C210" s="5"/>
      <c r="D210" s="5"/>
      <c r="E210" s="5"/>
      <c r="F210" s="5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8"/>
      <c r="AF210" s="8"/>
      <c r="AG210" s="8"/>
      <c r="AH210" s="8"/>
    </row>
    <row r="211" spans="1:34" ht="15.75" customHeight="1" x14ac:dyDescent="0.3">
      <c r="A211" s="5"/>
      <c r="B211" s="5"/>
      <c r="C211" s="5"/>
      <c r="D211" s="5"/>
      <c r="E211" s="5"/>
      <c r="F211" s="5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8"/>
      <c r="AF211" s="8"/>
      <c r="AG211" s="8"/>
      <c r="AH211" s="8"/>
    </row>
    <row r="212" spans="1:34" ht="15.75" customHeight="1" x14ac:dyDescent="0.3">
      <c r="A212" s="5"/>
      <c r="B212" s="5"/>
      <c r="C212" s="5"/>
      <c r="D212" s="5"/>
      <c r="E212" s="5"/>
      <c r="F212" s="5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8"/>
      <c r="AF212" s="8"/>
      <c r="AG212" s="8"/>
      <c r="AH212" s="8"/>
    </row>
    <row r="213" spans="1:34" ht="15.75" customHeight="1" x14ac:dyDescent="0.3">
      <c r="A213" s="5"/>
      <c r="B213" s="5"/>
      <c r="C213" s="5"/>
      <c r="D213" s="5"/>
      <c r="E213" s="5"/>
      <c r="F213" s="5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8"/>
      <c r="AF213" s="8"/>
      <c r="AG213" s="8"/>
      <c r="AH213" s="8"/>
    </row>
    <row r="214" spans="1:34" ht="15.75" customHeight="1" x14ac:dyDescent="0.3">
      <c r="A214" s="5"/>
      <c r="B214" s="5"/>
      <c r="C214" s="5"/>
      <c r="D214" s="5"/>
      <c r="E214" s="5"/>
      <c r="F214" s="5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8"/>
      <c r="AF214" s="8"/>
      <c r="AG214" s="8"/>
      <c r="AH214" s="8"/>
    </row>
    <row r="215" spans="1:34" ht="15.75" customHeight="1" x14ac:dyDescent="0.3">
      <c r="A215" s="5"/>
      <c r="B215" s="5"/>
      <c r="C215" s="5"/>
      <c r="D215" s="5"/>
      <c r="E215" s="5"/>
      <c r="F215" s="5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8"/>
      <c r="AF215" s="8"/>
      <c r="AG215" s="8"/>
      <c r="AH215" s="8"/>
    </row>
    <row r="216" spans="1:34" ht="15.75" customHeight="1" x14ac:dyDescent="0.3">
      <c r="A216" s="5"/>
      <c r="B216" s="5"/>
      <c r="C216" s="5"/>
      <c r="D216" s="5"/>
      <c r="E216" s="5"/>
      <c r="F216" s="5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8"/>
      <c r="AF216" s="8"/>
      <c r="AG216" s="8"/>
      <c r="AH216" s="8"/>
    </row>
    <row r="217" spans="1:34" ht="15.75" customHeight="1" x14ac:dyDescent="0.3">
      <c r="A217" s="5"/>
      <c r="B217" s="5"/>
      <c r="C217" s="5"/>
      <c r="D217" s="5"/>
      <c r="E217" s="5"/>
      <c r="F217" s="5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8"/>
      <c r="AF217" s="8"/>
      <c r="AG217" s="8"/>
      <c r="AH217" s="8"/>
    </row>
    <row r="218" spans="1:34" ht="15.75" customHeight="1" x14ac:dyDescent="0.3">
      <c r="A218" s="5"/>
      <c r="B218" s="5"/>
      <c r="C218" s="5"/>
      <c r="D218" s="5"/>
      <c r="E218" s="5"/>
      <c r="F218" s="5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8"/>
      <c r="AF218" s="8"/>
      <c r="AG218" s="8"/>
      <c r="AH218" s="8"/>
    </row>
    <row r="219" spans="1:34" ht="15.75" customHeight="1" x14ac:dyDescent="0.3">
      <c r="A219" s="5"/>
      <c r="B219" s="5"/>
      <c r="C219" s="5"/>
      <c r="D219" s="5"/>
      <c r="E219" s="5"/>
      <c r="F219" s="5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8"/>
      <c r="AF219" s="8"/>
      <c r="AG219" s="8"/>
      <c r="AH219" s="8"/>
    </row>
    <row r="220" spans="1:34" ht="15.75" customHeight="1" x14ac:dyDescent="0.3">
      <c r="A220" s="5"/>
      <c r="B220" s="5"/>
      <c r="C220" s="5"/>
      <c r="D220" s="5"/>
      <c r="E220" s="5"/>
      <c r="F220" s="5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8"/>
      <c r="AF220" s="8"/>
      <c r="AG220" s="8"/>
      <c r="AH220" s="8"/>
    </row>
    <row r="221" spans="1:34" ht="15.75" customHeight="1" x14ac:dyDescent="0.3">
      <c r="A221" s="5"/>
      <c r="B221" s="5"/>
      <c r="C221" s="5"/>
      <c r="D221" s="5"/>
      <c r="E221" s="5"/>
      <c r="F221" s="5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8"/>
      <c r="AF221" s="8"/>
      <c r="AG221" s="8"/>
      <c r="AH221" s="8"/>
    </row>
    <row r="222" spans="1:34" ht="15.75" customHeight="1" x14ac:dyDescent="0.3">
      <c r="A222" s="5"/>
      <c r="B222" s="5"/>
      <c r="C222" s="5"/>
      <c r="D222" s="5"/>
      <c r="E222" s="5"/>
      <c r="F222" s="5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8"/>
      <c r="AF222" s="8"/>
      <c r="AG222" s="8"/>
      <c r="AH222" s="8"/>
    </row>
    <row r="223" spans="1:34" ht="15.75" customHeight="1" x14ac:dyDescent="0.3">
      <c r="A223" s="5"/>
      <c r="B223" s="5"/>
      <c r="C223" s="5"/>
      <c r="D223" s="5"/>
      <c r="E223" s="5"/>
      <c r="F223" s="5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8"/>
      <c r="AF223" s="8"/>
      <c r="AG223" s="8"/>
      <c r="AH223" s="8"/>
    </row>
    <row r="224" spans="1:34" ht="15.75" customHeight="1" x14ac:dyDescent="0.3">
      <c r="A224" s="5"/>
      <c r="B224" s="5"/>
      <c r="C224" s="5"/>
      <c r="D224" s="5"/>
      <c r="E224" s="5"/>
      <c r="F224" s="5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8"/>
      <c r="AF224" s="8"/>
      <c r="AG224" s="8"/>
      <c r="AH224" s="8"/>
    </row>
    <row r="225" spans="1:34" ht="15.75" customHeight="1" x14ac:dyDescent="0.3">
      <c r="A225" s="5"/>
      <c r="B225" s="5"/>
      <c r="C225" s="5"/>
      <c r="D225" s="5"/>
      <c r="E225" s="5"/>
      <c r="F225" s="5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8"/>
      <c r="AF225" s="8"/>
      <c r="AG225" s="8"/>
      <c r="AH225" s="8"/>
    </row>
    <row r="226" spans="1:34" ht="15.75" customHeight="1" x14ac:dyDescent="0.3">
      <c r="A226" s="5"/>
      <c r="B226" s="5"/>
      <c r="C226" s="5"/>
      <c r="D226" s="5"/>
      <c r="E226" s="5"/>
      <c r="F226" s="5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8"/>
      <c r="AF226" s="8"/>
      <c r="AG226" s="8"/>
      <c r="AH226" s="8"/>
    </row>
    <row r="227" spans="1:34" ht="15.75" customHeight="1" x14ac:dyDescent="0.3">
      <c r="A227" s="5"/>
      <c r="B227" s="5"/>
      <c r="C227" s="5"/>
      <c r="D227" s="5"/>
      <c r="E227" s="5"/>
      <c r="F227" s="5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8"/>
      <c r="AF227" s="8"/>
      <c r="AG227" s="8"/>
      <c r="AH227" s="8"/>
    </row>
    <row r="228" spans="1:34" ht="15.75" customHeight="1" x14ac:dyDescent="0.3">
      <c r="A228" s="5"/>
      <c r="B228" s="5"/>
      <c r="C228" s="5"/>
      <c r="D228" s="5"/>
      <c r="E228" s="5"/>
      <c r="F228" s="5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8"/>
      <c r="AF228" s="8"/>
      <c r="AG228" s="8"/>
      <c r="AH228" s="8"/>
    </row>
    <row r="229" spans="1:34" ht="15.75" customHeight="1" x14ac:dyDescent="0.3">
      <c r="A229" s="5"/>
      <c r="B229" s="5"/>
      <c r="C229" s="5"/>
      <c r="D229" s="5"/>
      <c r="E229" s="5"/>
      <c r="F229" s="5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8"/>
      <c r="AF229" s="8"/>
      <c r="AG229" s="8"/>
      <c r="AH229" s="8"/>
    </row>
    <row r="230" spans="1:34" ht="15.75" customHeight="1" x14ac:dyDescent="0.3">
      <c r="A230" s="5"/>
      <c r="B230" s="5"/>
      <c r="C230" s="5"/>
      <c r="D230" s="5"/>
      <c r="E230" s="5"/>
      <c r="F230" s="5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8"/>
      <c r="AF230" s="8"/>
      <c r="AG230" s="8"/>
      <c r="AH230" s="8"/>
    </row>
    <row r="231" spans="1:34" ht="15.75" customHeight="1" x14ac:dyDescent="0.3">
      <c r="A231" s="5"/>
      <c r="B231" s="5"/>
      <c r="C231" s="5"/>
      <c r="D231" s="5"/>
      <c r="E231" s="5"/>
      <c r="F231" s="5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8"/>
      <c r="AF231" s="8"/>
      <c r="AG231" s="8"/>
      <c r="AH231" s="8"/>
    </row>
    <row r="232" spans="1:34" ht="15.75" customHeight="1" x14ac:dyDescent="0.3">
      <c r="A232" s="5"/>
      <c r="B232" s="5"/>
      <c r="C232" s="5"/>
      <c r="D232" s="5"/>
      <c r="E232" s="5"/>
      <c r="F232" s="5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8"/>
      <c r="AF232" s="8"/>
      <c r="AG232" s="8"/>
      <c r="AH232" s="8"/>
    </row>
    <row r="233" spans="1:34" ht="15.75" customHeight="1" x14ac:dyDescent="0.3">
      <c r="A233" s="5"/>
      <c r="B233" s="5"/>
      <c r="C233" s="5"/>
      <c r="D233" s="5"/>
      <c r="E233" s="5"/>
      <c r="F233" s="5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8"/>
      <c r="AF233" s="8"/>
      <c r="AG233" s="8"/>
      <c r="AH233" s="8"/>
    </row>
    <row r="234" spans="1:34" ht="15.75" customHeight="1" x14ac:dyDescent="0.3">
      <c r="A234" s="5"/>
      <c r="B234" s="5"/>
      <c r="C234" s="5"/>
      <c r="D234" s="5"/>
      <c r="E234" s="5"/>
      <c r="F234" s="5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8"/>
      <c r="AF234" s="8"/>
      <c r="AG234" s="8"/>
      <c r="AH234" s="8"/>
    </row>
    <row r="235" spans="1:34" ht="15.75" customHeight="1" x14ac:dyDescent="0.3">
      <c r="A235" s="5"/>
      <c r="B235" s="5"/>
      <c r="C235" s="5"/>
      <c r="D235" s="5"/>
      <c r="E235" s="5"/>
      <c r="F235" s="5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8"/>
      <c r="AF235" s="8"/>
      <c r="AG235" s="8"/>
      <c r="AH235" s="8"/>
    </row>
    <row r="236" spans="1:34" ht="15.75" customHeight="1" x14ac:dyDescent="0.3">
      <c r="A236" s="5"/>
      <c r="B236" s="5"/>
      <c r="C236" s="5"/>
      <c r="D236" s="5"/>
      <c r="E236" s="5"/>
      <c r="F236" s="5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8"/>
      <c r="AF236" s="8"/>
      <c r="AG236" s="8"/>
      <c r="AH236" s="8"/>
    </row>
    <row r="237" spans="1:34" ht="15.75" customHeight="1" x14ac:dyDescent="0.3">
      <c r="A237" s="5"/>
      <c r="B237" s="5"/>
      <c r="C237" s="5"/>
      <c r="D237" s="5"/>
      <c r="E237" s="5"/>
      <c r="F237" s="5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8"/>
      <c r="AF237" s="8"/>
      <c r="AG237" s="8"/>
      <c r="AH237" s="8"/>
    </row>
    <row r="238" spans="1:34" ht="15.75" customHeight="1" x14ac:dyDescent="0.3">
      <c r="A238" s="5"/>
      <c r="B238" s="5"/>
      <c r="C238" s="5"/>
      <c r="D238" s="5"/>
      <c r="E238" s="5"/>
      <c r="F238" s="5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8"/>
      <c r="AF238" s="8"/>
      <c r="AG238" s="8"/>
      <c r="AH238" s="8"/>
    </row>
    <row r="239" spans="1:34" ht="15.75" customHeight="1" x14ac:dyDescent="0.3">
      <c r="A239" s="5"/>
      <c r="B239" s="5"/>
      <c r="C239" s="5"/>
      <c r="D239" s="5"/>
      <c r="E239" s="5"/>
      <c r="F239" s="5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8"/>
      <c r="AF239" s="8"/>
      <c r="AG239" s="8"/>
      <c r="AH239" s="8"/>
    </row>
    <row r="240" spans="1:34" ht="15.75" customHeight="1" x14ac:dyDescent="0.3">
      <c r="A240" s="5"/>
      <c r="B240" s="5"/>
      <c r="C240" s="5"/>
      <c r="D240" s="5"/>
      <c r="E240" s="5"/>
      <c r="F240" s="5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8"/>
      <c r="AF240" s="8"/>
      <c r="AG240" s="8"/>
      <c r="AH240" s="8"/>
    </row>
    <row r="241" spans="1:34" ht="15.75" customHeight="1" x14ac:dyDescent="0.3">
      <c r="A241" s="5"/>
      <c r="B241" s="5"/>
      <c r="C241" s="5"/>
      <c r="D241" s="5"/>
      <c r="E241" s="5"/>
      <c r="F241" s="5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8"/>
      <c r="AF241" s="8"/>
      <c r="AG241" s="8"/>
      <c r="AH241" s="8"/>
    </row>
    <row r="242" spans="1:34" ht="15.75" customHeight="1" x14ac:dyDescent="0.3">
      <c r="A242" s="5"/>
      <c r="B242" s="5"/>
      <c r="C242" s="5"/>
      <c r="D242" s="5"/>
      <c r="E242" s="5"/>
      <c r="F242" s="5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8"/>
      <c r="AF242" s="8"/>
      <c r="AG242" s="8"/>
      <c r="AH242" s="8"/>
    </row>
    <row r="243" spans="1:34" ht="15.75" customHeight="1" x14ac:dyDescent="0.3">
      <c r="A243" s="5"/>
      <c r="B243" s="5"/>
      <c r="C243" s="5"/>
      <c r="D243" s="5"/>
      <c r="E243" s="5"/>
      <c r="F243" s="5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8"/>
      <c r="AF243" s="8"/>
      <c r="AG243" s="8"/>
      <c r="AH243" s="8"/>
    </row>
    <row r="244" spans="1:34" ht="15.75" customHeight="1" x14ac:dyDescent="0.3">
      <c r="A244" s="5"/>
      <c r="B244" s="5"/>
      <c r="C244" s="5"/>
      <c r="D244" s="5"/>
      <c r="E244" s="5"/>
      <c r="F244" s="5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8"/>
      <c r="AF244" s="8"/>
      <c r="AG244" s="8"/>
      <c r="AH244" s="8"/>
    </row>
    <row r="245" spans="1:34" ht="15.75" customHeight="1" x14ac:dyDescent="0.3">
      <c r="A245" s="5"/>
      <c r="B245" s="5"/>
      <c r="C245" s="5"/>
      <c r="D245" s="5"/>
      <c r="E245" s="5"/>
      <c r="F245" s="5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8"/>
      <c r="AF245" s="8"/>
      <c r="AG245" s="8"/>
      <c r="AH245" s="8"/>
    </row>
    <row r="246" spans="1:34" ht="15.75" customHeight="1" x14ac:dyDescent="0.3">
      <c r="A246" s="5"/>
      <c r="B246" s="5"/>
      <c r="C246" s="5"/>
      <c r="D246" s="5"/>
      <c r="E246" s="5"/>
      <c r="F246" s="5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8"/>
      <c r="AF246" s="8"/>
      <c r="AG246" s="8"/>
      <c r="AH246" s="8"/>
    </row>
    <row r="247" spans="1:34" ht="15.75" customHeight="1" x14ac:dyDescent="0.3">
      <c r="A247" s="5"/>
      <c r="B247" s="5"/>
      <c r="C247" s="5"/>
      <c r="D247" s="5"/>
      <c r="E247" s="5"/>
      <c r="F247" s="5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8"/>
      <c r="AF247" s="8"/>
      <c r="AG247" s="8"/>
      <c r="AH247" s="8"/>
    </row>
    <row r="248" spans="1:34" ht="15.75" customHeight="1" x14ac:dyDescent="0.3">
      <c r="A248" s="5"/>
      <c r="B248" s="5"/>
      <c r="C248" s="5"/>
      <c r="D248" s="5"/>
      <c r="E248" s="5"/>
      <c r="F248" s="5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8"/>
      <c r="AF248" s="8"/>
      <c r="AG248" s="8"/>
      <c r="AH248" s="8"/>
    </row>
    <row r="249" spans="1:34" ht="15.75" customHeight="1" x14ac:dyDescent="0.3">
      <c r="A249" s="5"/>
      <c r="B249" s="5"/>
      <c r="C249" s="5"/>
      <c r="D249" s="5"/>
      <c r="E249" s="5"/>
      <c r="F249" s="5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8"/>
      <c r="AF249" s="8"/>
      <c r="AG249" s="8"/>
      <c r="AH249" s="8"/>
    </row>
    <row r="250" spans="1:34" ht="15.75" customHeight="1" x14ac:dyDescent="0.3">
      <c r="A250" s="5"/>
      <c r="B250" s="5"/>
      <c r="C250" s="5"/>
      <c r="D250" s="5"/>
      <c r="E250" s="5"/>
      <c r="F250" s="5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8"/>
      <c r="AF250" s="8"/>
      <c r="AG250" s="8"/>
      <c r="AH250" s="8"/>
    </row>
    <row r="251" spans="1:34" ht="15.75" customHeight="1" x14ac:dyDescent="0.3">
      <c r="A251" s="5"/>
      <c r="B251" s="5"/>
      <c r="C251" s="5"/>
      <c r="D251" s="5"/>
      <c r="E251" s="5"/>
      <c r="F251" s="5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8"/>
      <c r="AF251" s="8"/>
      <c r="AG251" s="8"/>
      <c r="AH251" s="8"/>
    </row>
    <row r="252" spans="1:34" ht="15.75" customHeight="1" x14ac:dyDescent="0.3">
      <c r="A252" s="5"/>
      <c r="B252" s="5"/>
      <c r="C252" s="5"/>
      <c r="D252" s="5"/>
      <c r="E252" s="5"/>
      <c r="F252" s="5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8"/>
      <c r="AF252" s="8"/>
      <c r="AG252" s="8"/>
      <c r="AH252" s="8"/>
    </row>
    <row r="253" spans="1:34" ht="15.75" customHeight="1" x14ac:dyDescent="0.3">
      <c r="A253" s="5"/>
      <c r="B253" s="5"/>
      <c r="C253" s="5"/>
      <c r="D253" s="5"/>
      <c r="E253" s="5"/>
      <c r="F253" s="5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8"/>
      <c r="AF253" s="8"/>
      <c r="AG253" s="8"/>
      <c r="AH253" s="8"/>
    </row>
    <row r="254" spans="1:34" ht="15.75" customHeight="1" x14ac:dyDescent="0.3">
      <c r="A254" s="5"/>
      <c r="B254" s="5"/>
      <c r="C254" s="5"/>
      <c r="D254" s="5"/>
      <c r="E254" s="5"/>
      <c r="F254" s="5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8"/>
      <c r="AF254" s="8"/>
      <c r="AG254" s="8"/>
      <c r="AH254" s="8"/>
    </row>
    <row r="255" spans="1:34" ht="15.75" customHeight="1" x14ac:dyDescent="0.3">
      <c r="A255" s="5"/>
      <c r="B255" s="5"/>
      <c r="C255" s="5"/>
      <c r="D255" s="5"/>
      <c r="E255" s="5"/>
      <c r="F255" s="5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8"/>
      <c r="AF255" s="8"/>
      <c r="AG255" s="8"/>
      <c r="AH255" s="8"/>
    </row>
    <row r="256" spans="1:34" ht="15.75" customHeight="1" x14ac:dyDescent="0.3">
      <c r="A256" s="5"/>
      <c r="B256" s="5"/>
      <c r="C256" s="5"/>
      <c r="D256" s="5"/>
      <c r="E256" s="5"/>
      <c r="F256" s="5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8"/>
      <c r="AF256" s="8"/>
      <c r="AG256" s="8"/>
      <c r="AH256" s="8"/>
    </row>
    <row r="257" spans="1:34" ht="15.75" customHeight="1" x14ac:dyDescent="0.3">
      <c r="A257" s="5"/>
      <c r="B257" s="5"/>
      <c r="C257" s="5"/>
      <c r="D257" s="5"/>
      <c r="E257" s="5"/>
      <c r="F257" s="5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8"/>
      <c r="AF257" s="8"/>
      <c r="AG257" s="8"/>
      <c r="AH257" s="8"/>
    </row>
    <row r="258" spans="1:34" ht="15.75" customHeight="1" x14ac:dyDescent="0.3">
      <c r="A258" s="5"/>
      <c r="B258" s="5"/>
      <c r="C258" s="5"/>
      <c r="D258" s="5"/>
      <c r="E258" s="5"/>
      <c r="F258" s="5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8"/>
      <c r="AF258" s="8"/>
      <c r="AG258" s="8"/>
      <c r="AH258" s="8"/>
    </row>
    <row r="259" spans="1:34" ht="15.75" customHeight="1" x14ac:dyDescent="0.3">
      <c r="A259" s="5"/>
      <c r="B259" s="5"/>
      <c r="C259" s="5"/>
      <c r="D259" s="5"/>
      <c r="E259" s="5"/>
      <c r="F259" s="5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8"/>
      <c r="AF259" s="8"/>
      <c r="AG259" s="8"/>
      <c r="AH259" s="8"/>
    </row>
    <row r="260" spans="1:34" ht="15.75" customHeight="1" x14ac:dyDescent="0.3">
      <c r="A260" s="5"/>
      <c r="B260" s="5"/>
      <c r="C260" s="5"/>
      <c r="D260" s="5"/>
      <c r="E260" s="5"/>
      <c r="F260" s="5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8"/>
      <c r="AF260" s="8"/>
      <c r="AG260" s="8"/>
      <c r="AH260" s="8"/>
    </row>
    <row r="261" spans="1:34" ht="15.75" customHeight="1" x14ac:dyDescent="0.3">
      <c r="A261" s="5"/>
      <c r="B261" s="5"/>
      <c r="C261" s="5"/>
      <c r="D261" s="5"/>
      <c r="E261" s="5"/>
      <c r="F261" s="5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8"/>
      <c r="AF261" s="8"/>
      <c r="AG261" s="8"/>
      <c r="AH261" s="8"/>
    </row>
    <row r="262" spans="1:34" ht="15.75" customHeight="1" x14ac:dyDescent="0.3">
      <c r="A262" s="5"/>
      <c r="B262" s="5"/>
      <c r="C262" s="5"/>
      <c r="D262" s="5"/>
      <c r="E262" s="5"/>
      <c r="F262" s="5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8"/>
      <c r="AF262" s="8"/>
      <c r="AG262" s="8"/>
      <c r="AH262" s="8"/>
    </row>
    <row r="263" spans="1:34" ht="15.75" customHeight="1" x14ac:dyDescent="0.3">
      <c r="A263" s="5"/>
      <c r="B263" s="5"/>
      <c r="C263" s="5"/>
      <c r="D263" s="5"/>
      <c r="E263" s="5"/>
      <c r="F263" s="5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8"/>
      <c r="AF263" s="8"/>
      <c r="AG263" s="8"/>
      <c r="AH263" s="8"/>
    </row>
    <row r="264" spans="1:34" ht="15.75" customHeight="1" x14ac:dyDescent="0.3">
      <c r="A264" s="5"/>
      <c r="B264" s="5"/>
      <c r="C264" s="5"/>
      <c r="D264" s="5"/>
      <c r="E264" s="5"/>
      <c r="F264" s="5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8"/>
      <c r="AF264" s="8"/>
      <c r="AG264" s="8"/>
      <c r="AH264" s="8"/>
    </row>
    <row r="265" spans="1:34" ht="15.75" customHeight="1" x14ac:dyDescent="0.3">
      <c r="A265" s="5"/>
      <c r="B265" s="5"/>
      <c r="C265" s="5"/>
      <c r="D265" s="5"/>
      <c r="E265" s="5"/>
      <c r="F265" s="5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8"/>
      <c r="AF265" s="8"/>
      <c r="AG265" s="8"/>
      <c r="AH265" s="8"/>
    </row>
    <row r="266" spans="1:34" ht="15.75" customHeight="1" x14ac:dyDescent="0.3">
      <c r="A266" s="5"/>
      <c r="B266" s="5"/>
      <c r="C266" s="5"/>
      <c r="D266" s="5"/>
      <c r="E266" s="5"/>
      <c r="F266" s="5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8"/>
      <c r="AF266" s="8"/>
      <c r="AG266" s="8"/>
      <c r="AH266" s="8"/>
    </row>
    <row r="267" spans="1:34" ht="15.75" customHeight="1" x14ac:dyDescent="0.3">
      <c r="A267" s="5"/>
      <c r="B267" s="5"/>
      <c r="C267" s="5"/>
      <c r="D267" s="5"/>
      <c r="E267" s="5"/>
      <c r="F267" s="5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8"/>
      <c r="AF267" s="8"/>
      <c r="AG267" s="8"/>
      <c r="AH267" s="8"/>
    </row>
    <row r="268" spans="1:34" ht="15.75" customHeight="1" x14ac:dyDescent="0.3">
      <c r="A268" s="5"/>
      <c r="B268" s="5"/>
      <c r="C268" s="5"/>
      <c r="D268" s="5"/>
      <c r="E268" s="5"/>
      <c r="F268" s="5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8"/>
      <c r="AF268" s="8"/>
      <c r="AG268" s="8"/>
      <c r="AH268" s="8"/>
    </row>
    <row r="269" spans="1:34" ht="15.75" customHeight="1" x14ac:dyDescent="0.3">
      <c r="A269" s="5"/>
      <c r="B269" s="5"/>
      <c r="C269" s="5"/>
      <c r="D269" s="5"/>
      <c r="E269" s="5"/>
      <c r="F269" s="5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8"/>
      <c r="AF269" s="8"/>
      <c r="AG269" s="8"/>
      <c r="AH269" s="8"/>
    </row>
    <row r="270" spans="1:34" ht="15.75" customHeight="1" x14ac:dyDescent="0.3">
      <c r="A270" s="5"/>
      <c r="B270" s="5"/>
      <c r="C270" s="5"/>
      <c r="D270" s="5"/>
      <c r="E270" s="5"/>
      <c r="F270" s="5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8"/>
      <c r="AF270" s="8"/>
      <c r="AG270" s="8"/>
      <c r="AH270" s="8"/>
    </row>
    <row r="271" spans="1:34" ht="15.75" customHeight="1" x14ac:dyDescent="0.3">
      <c r="A271" s="5"/>
      <c r="B271" s="5"/>
      <c r="C271" s="5"/>
      <c r="D271" s="5"/>
      <c r="E271" s="5"/>
      <c r="F271" s="5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8"/>
      <c r="AF271" s="8"/>
      <c r="AG271" s="8"/>
      <c r="AH271" s="8"/>
    </row>
    <row r="272" spans="1:34" ht="15.75" customHeight="1" x14ac:dyDescent="0.3">
      <c r="A272" s="5"/>
      <c r="B272" s="5"/>
      <c r="C272" s="5"/>
      <c r="D272" s="5"/>
      <c r="E272" s="5"/>
      <c r="F272" s="5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8"/>
      <c r="AF272" s="8"/>
      <c r="AG272" s="8"/>
      <c r="AH272" s="8"/>
    </row>
    <row r="273" spans="1:34" ht="15.75" customHeight="1" x14ac:dyDescent="0.3">
      <c r="A273" s="5"/>
      <c r="B273" s="5"/>
      <c r="C273" s="5"/>
      <c r="D273" s="5"/>
      <c r="E273" s="5"/>
      <c r="F273" s="5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8"/>
      <c r="AF273" s="8"/>
      <c r="AG273" s="8"/>
      <c r="AH273" s="8"/>
    </row>
    <row r="274" spans="1:34" ht="15.75" customHeight="1" x14ac:dyDescent="0.3">
      <c r="A274" s="5"/>
      <c r="B274" s="5"/>
      <c r="C274" s="5"/>
      <c r="D274" s="5"/>
      <c r="E274" s="5"/>
      <c r="F274" s="5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8"/>
      <c r="AF274" s="8"/>
      <c r="AG274" s="8"/>
      <c r="AH274" s="8"/>
    </row>
    <row r="275" spans="1:34" ht="15.75" customHeight="1" x14ac:dyDescent="0.3">
      <c r="A275" s="5"/>
      <c r="B275" s="5"/>
      <c r="C275" s="5"/>
      <c r="D275" s="5"/>
      <c r="E275" s="5"/>
      <c r="F275" s="5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8"/>
      <c r="AF275" s="8"/>
      <c r="AG275" s="8"/>
      <c r="AH275" s="8"/>
    </row>
    <row r="276" spans="1:34" ht="15.75" customHeight="1" x14ac:dyDescent="0.3">
      <c r="A276" s="5"/>
      <c r="B276" s="5"/>
      <c r="C276" s="5"/>
      <c r="D276" s="5"/>
      <c r="E276" s="5"/>
      <c r="F276" s="5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8"/>
      <c r="AF276" s="8"/>
      <c r="AG276" s="8"/>
      <c r="AH276" s="8"/>
    </row>
    <row r="277" spans="1:34" ht="15.75" customHeight="1" x14ac:dyDescent="0.3">
      <c r="A277" s="5"/>
      <c r="B277" s="5"/>
      <c r="C277" s="5"/>
      <c r="D277" s="5"/>
      <c r="E277" s="5"/>
      <c r="F277" s="5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8"/>
      <c r="AF277" s="8"/>
      <c r="AG277" s="8"/>
      <c r="AH277" s="8"/>
    </row>
    <row r="278" spans="1:34" ht="15.75" customHeight="1" x14ac:dyDescent="0.3">
      <c r="A278" s="5"/>
      <c r="B278" s="5"/>
      <c r="C278" s="5"/>
      <c r="D278" s="5"/>
      <c r="E278" s="5"/>
      <c r="F278" s="5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8"/>
      <c r="AF278" s="8"/>
      <c r="AG278" s="8"/>
      <c r="AH278" s="8"/>
    </row>
    <row r="279" spans="1:34" ht="15.75" customHeight="1" x14ac:dyDescent="0.3">
      <c r="A279" s="5"/>
      <c r="B279" s="5"/>
      <c r="C279" s="5"/>
      <c r="D279" s="5"/>
      <c r="E279" s="5"/>
      <c r="F279" s="5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8"/>
      <c r="AF279" s="8"/>
      <c r="AG279" s="8"/>
      <c r="AH279" s="8"/>
    </row>
    <row r="280" spans="1:34" ht="15.75" customHeight="1" x14ac:dyDescent="0.3">
      <c r="A280" s="5"/>
      <c r="B280" s="5"/>
      <c r="C280" s="5"/>
      <c r="D280" s="5"/>
      <c r="E280" s="5"/>
      <c r="F280" s="5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8"/>
      <c r="AF280" s="8"/>
      <c r="AG280" s="8"/>
      <c r="AH280" s="8"/>
    </row>
    <row r="281" spans="1:34" ht="15.75" customHeight="1" x14ac:dyDescent="0.3">
      <c r="A281" s="5"/>
      <c r="B281" s="5"/>
      <c r="C281" s="5"/>
      <c r="D281" s="5"/>
      <c r="E281" s="5"/>
      <c r="F281" s="5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8"/>
      <c r="AF281" s="8"/>
      <c r="AG281" s="8"/>
      <c r="AH281" s="8"/>
    </row>
    <row r="282" spans="1:34" ht="15.75" customHeight="1" x14ac:dyDescent="0.3">
      <c r="A282" s="5"/>
      <c r="B282" s="5"/>
      <c r="C282" s="5"/>
      <c r="D282" s="5"/>
      <c r="E282" s="5"/>
      <c r="F282" s="5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8"/>
      <c r="AF282" s="8"/>
      <c r="AG282" s="8"/>
      <c r="AH282" s="8"/>
    </row>
    <row r="283" spans="1:34" ht="15.75" customHeight="1" x14ac:dyDescent="0.3">
      <c r="A283" s="5"/>
      <c r="B283" s="5"/>
      <c r="C283" s="5"/>
      <c r="D283" s="5"/>
      <c r="E283" s="5"/>
      <c r="F283" s="5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8"/>
      <c r="AF283" s="8"/>
      <c r="AG283" s="8"/>
      <c r="AH283" s="8"/>
    </row>
    <row r="284" spans="1:34" ht="15.75" customHeight="1" x14ac:dyDescent="0.3">
      <c r="A284" s="5"/>
      <c r="B284" s="5"/>
      <c r="C284" s="5"/>
      <c r="D284" s="5"/>
      <c r="E284" s="5"/>
      <c r="F284" s="5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8"/>
      <c r="AF284" s="8"/>
      <c r="AG284" s="8"/>
      <c r="AH284" s="8"/>
    </row>
    <row r="285" spans="1:34" ht="15.75" customHeight="1" x14ac:dyDescent="0.3">
      <c r="A285" s="5"/>
      <c r="B285" s="5"/>
      <c r="C285" s="5"/>
      <c r="D285" s="5"/>
      <c r="E285" s="5"/>
      <c r="F285" s="5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8"/>
      <c r="AF285" s="8"/>
      <c r="AG285" s="8"/>
      <c r="AH285" s="8"/>
    </row>
    <row r="286" spans="1:34" ht="15.75" customHeight="1" x14ac:dyDescent="0.3">
      <c r="A286" s="5"/>
      <c r="B286" s="5"/>
      <c r="C286" s="5"/>
      <c r="D286" s="5"/>
      <c r="E286" s="5"/>
      <c r="F286" s="5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8"/>
      <c r="AF286" s="8"/>
      <c r="AG286" s="8"/>
      <c r="AH286" s="8"/>
    </row>
    <row r="287" spans="1:34" ht="15.75" customHeight="1" x14ac:dyDescent="0.3">
      <c r="A287" s="5"/>
      <c r="B287" s="5"/>
      <c r="C287" s="5"/>
      <c r="D287" s="5"/>
      <c r="E287" s="5"/>
      <c r="F287" s="5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8"/>
      <c r="AF287" s="8"/>
      <c r="AG287" s="8"/>
      <c r="AH287" s="8"/>
    </row>
    <row r="288" spans="1:34" ht="15.75" customHeight="1" x14ac:dyDescent="0.3">
      <c r="A288" s="5"/>
      <c r="B288" s="5"/>
      <c r="C288" s="5"/>
      <c r="D288" s="5"/>
      <c r="E288" s="5"/>
      <c r="F288" s="5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8"/>
      <c r="AF288" s="8"/>
      <c r="AG288" s="8"/>
      <c r="AH288" s="8"/>
    </row>
    <row r="289" spans="1:34" ht="15.75" customHeight="1" x14ac:dyDescent="0.3">
      <c r="A289" s="5"/>
      <c r="B289" s="5"/>
      <c r="C289" s="5"/>
      <c r="D289" s="5"/>
      <c r="E289" s="5"/>
      <c r="F289" s="5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8"/>
      <c r="AF289" s="8"/>
      <c r="AG289" s="8"/>
      <c r="AH289" s="8"/>
    </row>
    <row r="290" spans="1:34" ht="15.75" customHeight="1" x14ac:dyDescent="0.3">
      <c r="A290" s="5"/>
      <c r="B290" s="5"/>
      <c r="C290" s="5"/>
      <c r="D290" s="5"/>
      <c r="E290" s="5"/>
      <c r="F290" s="5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8"/>
      <c r="AF290" s="8"/>
      <c r="AG290" s="8"/>
      <c r="AH290" s="8"/>
    </row>
    <row r="291" spans="1:34" ht="15.75" customHeight="1" x14ac:dyDescent="0.3">
      <c r="A291" s="5"/>
      <c r="B291" s="5"/>
      <c r="C291" s="5"/>
      <c r="D291" s="5"/>
      <c r="E291" s="5"/>
      <c r="F291" s="5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8"/>
      <c r="AF291" s="8"/>
      <c r="AG291" s="8"/>
      <c r="AH291" s="8"/>
    </row>
    <row r="292" spans="1:34" ht="15.75" customHeight="1" x14ac:dyDescent="0.3">
      <c r="A292" s="5"/>
      <c r="B292" s="5"/>
      <c r="C292" s="5"/>
      <c r="D292" s="5"/>
      <c r="E292" s="5"/>
      <c r="F292" s="5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8"/>
      <c r="AF292" s="8"/>
      <c r="AG292" s="8"/>
      <c r="AH292" s="8"/>
    </row>
    <row r="293" spans="1:34" ht="15.75" customHeight="1" x14ac:dyDescent="0.3">
      <c r="A293" s="5"/>
      <c r="B293" s="5"/>
      <c r="C293" s="5"/>
      <c r="D293" s="5"/>
      <c r="E293" s="5"/>
      <c r="F293" s="5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8"/>
      <c r="AF293" s="8"/>
      <c r="AG293" s="8"/>
      <c r="AH293" s="8"/>
    </row>
    <row r="294" spans="1:34" ht="15.75" customHeight="1" x14ac:dyDescent="0.3">
      <c r="A294" s="5"/>
      <c r="B294" s="5"/>
      <c r="C294" s="5"/>
      <c r="D294" s="5"/>
      <c r="E294" s="5"/>
      <c r="F294" s="5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8"/>
      <c r="AF294" s="8"/>
      <c r="AG294" s="8"/>
      <c r="AH294" s="8"/>
    </row>
    <row r="295" spans="1:34" ht="15.75" customHeight="1" x14ac:dyDescent="0.3">
      <c r="A295" s="5"/>
      <c r="B295" s="5"/>
      <c r="C295" s="5"/>
      <c r="D295" s="5"/>
      <c r="E295" s="5"/>
      <c r="F295" s="5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8"/>
      <c r="AF295" s="8"/>
      <c r="AG295" s="8"/>
      <c r="AH295" s="8"/>
    </row>
    <row r="296" spans="1:34" ht="15.75" customHeight="1" x14ac:dyDescent="0.3">
      <c r="A296" s="5"/>
      <c r="B296" s="5"/>
      <c r="C296" s="5"/>
      <c r="D296" s="5"/>
      <c r="E296" s="5"/>
      <c r="F296" s="5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8"/>
      <c r="AF296" s="8"/>
      <c r="AG296" s="8"/>
      <c r="AH296" s="8"/>
    </row>
    <row r="297" spans="1:34" ht="15.75" customHeight="1" x14ac:dyDescent="0.3">
      <c r="A297" s="5"/>
      <c r="B297" s="5"/>
      <c r="C297" s="5"/>
      <c r="D297" s="5"/>
      <c r="E297" s="5"/>
      <c r="F297" s="5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8"/>
      <c r="AF297" s="8"/>
      <c r="AG297" s="8"/>
      <c r="AH297" s="8"/>
    </row>
    <row r="298" spans="1:34" ht="15.75" customHeight="1" x14ac:dyDescent="0.3">
      <c r="A298" s="5"/>
      <c r="B298" s="5"/>
      <c r="C298" s="5"/>
      <c r="D298" s="5"/>
      <c r="E298" s="5"/>
      <c r="F298" s="5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8"/>
      <c r="AF298" s="8"/>
      <c r="AG298" s="8"/>
      <c r="AH298" s="8"/>
    </row>
    <row r="299" spans="1:34" ht="15.75" customHeight="1" x14ac:dyDescent="0.3">
      <c r="A299" s="5"/>
      <c r="B299" s="5"/>
      <c r="C299" s="5"/>
      <c r="D299" s="5"/>
      <c r="E299" s="5"/>
      <c r="F299" s="5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8"/>
      <c r="AF299" s="8"/>
      <c r="AG299" s="8"/>
      <c r="AH299" s="8"/>
    </row>
    <row r="300" spans="1:34" ht="15.75" customHeight="1" x14ac:dyDescent="0.3">
      <c r="A300" s="5"/>
      <c r="B300" s="5"/>
      <c r="C300" s="5"/>
      <c r="D300" s="5"/>
      <c r="E300" s="5"/>
      <c r="F300" s="5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8"/>
      <c r="AF300" s="8"/>
      <c r="AG300" s="8"/>
      <c r="AH300" s="8"/>
    </row>
    <row r="301" spans="1:34" ht="15.75" customHeight="1" x14ac:dyDescent="0.3">
      <c r="A301" s="5"/>
      <c r="B301" s="5"/>
      <c r="C301" s="5"/>
      <c r="D301" s="5"/>
      <c r="E301" s="5"/>
      <c r="F301" s="5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8"/>
      <c r="AF301" s="8"/>
      <c r="AG301" s="8"/>
      <c r="AH301" s="8"/>
    </row>
    <row r="302" spans="1:34" ht="15.75" customHeight="1" x14ac:dyDescent="0.3">
      <c r="A302" s="5"/>
      <c r="B302" s="5"/>
      <c r="C302" s="5"/>
      <c r="D302" s="5"/>
      <c r="E302" s="5"/>
      <c r="F302" s="5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8"/>
      <c r="AF302" s="8"/>
      <c r="AG302" s="8"/>
      <c r="AH302" s="8"/>
    </row>
    <row r="303" spans="1:34" ht="15.75" customHeight="1" x14ac:dyDescent="0.3">
      <c r="A303" s="5"/>
      <c r="B303" s="5"/>
      <c r="C303" s="5"/>
      <c r="D303" s="5"/>
      <c r="E303" s="5"/>
      <c r="F303" s="5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8"/>
      <c r="AF303" s="8"/>
      <c r="AG303" s="8"/>
      <c r="AH303" s="8"/>
    </row>
    <row r="304" spans="1:34" ht="15.75" customHeight="1" x14ac:dyDescent="0.3">
      <c r="A304" s="5"/>
      <c r="B304" s="5"/>
      <c r="C304" s="5"/>
      <c r="D304" s="5"/>
      <c r="E304" s="5"/>
      <c r="F304" s="5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8"/>
      <c r="AF304" s="8"/>
      <c r="AG304" s="8"/>
      <c r="AH304" s="8"/>
    </row>
    <row r="305" spans="1:34" ht="15.75" customHeight="1" x14ac:dyDescent="0.3">
      <c r="A305" s="5"/>
      <c r="B305" s="5"/>
      <c r="C305" s="5"/>
      <c r="D305" s="5"/>
      <c r="E305" s="5"/>
      <c r="F305" s="5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8"/>
      <c r="AF305" s="8"/>
      <c r="AG305" s="8"/>
      <c r="AH305" s="8"/>
    </row>
    <row r="306" spans="1:34" ht="15.75" customHeight="1" x14ac:dyDescent="0.3">
      <c r="A306" s="5"/>
      <c r="B306" s="5"/>
      <c r="C306" s="5"/>
      <c r="D306" s="5"/>
      <c r="E306" s="5"/>
      <c r="F306" s="5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8"/>
      <c r="AF306" s="8"/>
      <c r="AG306" s="8"/>
      <c r="AH306" s="8"/>
    </row>
    <row r="307" spans="1:34" ht="15.75" customHeight="1" x14ac:dyDescent="0.3">
      <c r="A307" s="5"/>
      <c r="B307" s="5"/>
      <c r="C307" s="5"/>
      <c r="D307" s="5"/>
      <c r="E307" s="5"/>
      <c r="F307" s="5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8"/>
      <c r="AF307" s="8"/>
      <c r="AG307" s="8"/>
      <c r="AH307" s="8"/>
    </row>
    <row r="308" spans="1:34" ht="15.75" customHeight="1" x14ac:dyDescent="0.3">
      <c r="A308" s="5"/>
      <c r="B308" s="5"/>
      <c r="C308" s="5"/>
      <c r="D308" s="5"/>
      <c r="E308" s="5"/>
      <c r="F308" s="5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8"/>
      <c r="AF308" s="8"/>
      <c r="AG308" s="8"/>
      <c r="AH308" s="8"/>
    </row>
    <row r="309" spans="1:34" ht="15.75" customHeight="1" x14ac:dyDescent="0.3">
      <c r="A309" s="5"/>
      <c r="B309" s="5"/>
      <c r="C309" s="5"/>
      <c r="D309" s="5"/>
      <c r="E309" s="5"/>
      <c r="F309" s="5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8"/>
      <c r="AF309" s="8"/>
      <c r="AG309" s="8"/>
      <c r="AH309" s="8"/>
    </row>
    <row r="310" spans="1:34" ht="15.75" customHeight="1" x14ac:dyDescent="0.3">
      <c r="A310" s="5"/>
      <c r="B310" s="5"/>
      <c r="C310" s="5"/>
      <c r="D310" s="5"/>
      <c r="E310" s="5"/>
      <c r="F310" s="5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8"/>
      <c r="AF310" s="8"/>
      <c r="AG310" s="8"/>
      <c r="AH310" s="8"/>
    </row>
    <row r="311" spans="1:34" ht="15.75" customHeight="1" x14ac:dyDescent="0.3">
      <c r="A311" s="5"/>
      <c r="B311" s="5"/>
      <c r="C311" s="5"/>
      <c r="D311" s="5"/>
      <c r="E311" s="5"/>
      <c r="F311" s="5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8"/>
      <c r="AF311" s="8"/>
      <c r="AG311" s="8"/>
      <c r="AH311" s="8"/>
    </row>
    <row r="312" spans="1:34" ht="15.75" customHeight="1" x14ac:dyDescent="0.3">
      <c r="A312" s="5"/>
      <c r="B312" s="5"/>
      <c r="C312" s="5"/>
      <c r="D312" s="5"/>
      <c r="E312" s="5"/>
      <c r="F312" s="5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8"/>
      <c r="AF312" s="8"/>
      <c r="AG312" s="8"/>
      <c r="AH312" s="8"/>
    </row>
    <row r="313" spans="1:34" ht="15.75" customHeight="1" x14ac:dyDescent="0.3">
      <c r="A313" s="5"/>
      <c r="B313" s="5"/>
      <c r="C313" s="5"/>
      <c r="D313" s="5"/>
      <c r="E313" s="5"/>
      <c r="F313" s="5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8"/>
      <c r="AF313" s="8"/>
      <c r="AG313" s="8"/>
      <c r="AH313" s="8"/>
    </row>
    <row r="314" spans="1:34" ht="15.75" customHeight="1" x14ac:dyDescent="0.3">
      <c r="A314" s="5"/>
      <c r="B314" s="5"/>
      <c r="C314" s="5"/>
      <c r="D314" s="5"/>
      <c r="E314" s="5"/>
      <c r="F314" s="5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8"/>
      <c r="AF314" s="8"/>
      <c r="AG314" s="8"/>
      <c r="AH314" s="8"/>
    </row>
    <row r="315" spans="1:34" ht="15.75" customHeight="1" x14ac:dyDescent="0.3">
      <c r="A315" s="5"/>
      <c r="B315" s="5"/>
      <c r="C315" s="5"/>
      <c r="D315" s="5"/>
      <c r="E315" s="5"/>
      <c r="F315" s="5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8"/>
      <c r="AF315" s="8"/>
      <c r="AG315" s="8"/>
      <c r="AH315" s="8"/>
    </row>
    <row r="316" spans="1:34" ht="15.75" customHeight="1" x14ac:dyDescent="0.3">
      <c r="A316" s="5"/>
      <c r="B316" s="5"/>
      <c r="C316" s="5"/>
      <c r="D316" s="5"/>
      <c r="E316" s="5"/>
      <c r="F316" s="5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8"/>
      <c r="AF316" s="8"/>
      <c r="AG316" s="8"/>
      <c r="AH316" s="8"/>
    </row>
    <row r="317" spans="1:34" ht="15.75" customHeight="1" x14ac:dyDescent="0.3">
      <c r="A317" s="5"/>
      <c r="B317" s="5"/>
      <c r="C317" s="5"/>
      <c r="D317" s="5"/>
      <c r="E317" s="5"/>
      <c r="F317" s="5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8"/>
      <c r="AF317" s="8"/>
      <c r="AG317" s="8"/>
      <c r="AH317" s="8"/>
    </row>
    <row r="318" spans="1:34" ht="15.75" customHeight="1" x14ac:dyDescent="0.3">
      <c r="A318" s="5"/>
      <c r="B318" s="5"/>
      <c r="C318" s="5"/>
      <c r="D318" s="5"/>
      <c r="E318" s="5"/>
      <c r="F318" s="5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8"/>
      <c r="AF318" s="8"/>
      <c r="AG318" s="8"/>
      <c r="AH318" s="8"/>
    </row>
    <row r="319" spans="1:34" ht="15.75" customHeight="1" x14ac:dyDescent="0.3">
      <c r="A319" s="5"/>
      <c r="B319" s="5"/>
      <c r="C319" s="5"/>
      <c r="D319" s="5"/>
      <c r="E319" s="5"/>
      <c r="F319" s="5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8"/>
      <c r="AF319" s="8"/>
      <c r="AG319" s="8"/>
      <c r="AH319" s="8"/>
    </row>
    <row r="320" spans="1:34" ht="15.75" customHeight="1" x14ac:dyDescent="0.3">
      <c r="A320" s="5"/>
      <c r="B320" s="5"/>
      <c r="C320" s="5"/>
      <c r="D320" s="5"/>
      <c r="E320" s="5"/>
      <c r="F320" s="5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8"/>
      <c r="AF320" s="8"/>
      <c r="AG320" s="8"/>
      <c r="AH320" s="8"/>
    </row>
    <row r="321" spans="1:34" ht="15.75" customHeight="1" x14ac:dyDescent="0.3">
      <c r="A321" s="5"/>
      <c r="B321" s="5"/>
      <c r="C321" s="5"/>
      <c r="D321" s="5"/>
      <c r="E321" s="5"/>
      <c r="F321" s="5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8"/>
      <c r="AF321" s="8"/>
      <c r="AG321" s="8"/>
      <c r="AH321" s="8"/>
    </row>
    <row r="322" spans="1:34" ht="15.75" customHeight="1" x14ac:dyDescent="0.3">
      <c r="A322" s="5"/>
      <c r="B322" s="5"/>
      <c r="C322" s="5"/>
      <c r="D322" s="5"/>
      <c r="E322" s="5"/>
      <c r="F322" s="5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8"/>
      <c r="AF322" s="8"/>
      <c r="AG322" s="8"/>
      <c r="AH322" s="8"/>
    </row>
    <row r="323" spans="1:34" ht="15.75" customHeight="1" x14ac:dyDescent="0.3">
      <c r="A323" s="5"/>
      <c r="B323" s="5"/>
      <c r="C323" s="5"/>
      <c r="D323" s="5"/>
      <c r="E323" s="5"/>
      <c r="F323" s="5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8"/>
      <c r="AF323" s="8"/>
      <c r="AG323" s="8"/>
      <c r="AH323" s="8"/>
    </row>
    <row r="324" spans="1:34" ht="15.75" customHeight="1" x14ac:dyDescent="0.3">
      <c r="A324" s="5"/>
      <c r="B324" s="5"/>
      <c r="C324" s="5"/>
      <c r="D324" s="5"/>
      <c r="E324" s="5"/>
      <c r="F324" s="5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8"/>
      <c r="AF324" s="8"/>
      <c r="AG324" s="8"/>
      <c r="AH324" s="8"/>
    </row>
    <row r="325" spans="1:34" ht="15.75" customHeight="1" x14ac:dyDescent="0.3">
      <c r="A325" s="5"/>
      <c r="B325" s="5"/>
      <c r="C325" s="5"/>
      <c r="D325" s="5"/>
      <c r="E325" s="5"/>
      <c r="F325" s="5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8"/>
      <c r="AF325" s="8"/>
      <c r="AG325" s="8"/>
      <c r="AH325" s="8"/>
    </row>
    <row r="326" spans="1:34" ht="15.75" customHeight="1" x14ac:dyDescent="0.3">
      <c r="A326" s="5"/>
      <c r="B326" s="5"/>
      <c r="C326" s="5"/>
      <c r="D326" s="5"/>
      <c r="E326" s="5"/>
      <c r="F326" s="5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8"/>
      <c r="AF326" s="8"/>
      <c r="AG326" s="8"/>
      <c r="AH326" s="8"/>
    </row>
    <row r="327" spans="1:34" ht="15.75" customHeight="1" x14ac:dyDescent="0.3">
      <c r="A327" s="5"/>
      <c r="B327" s="5"/>
      <c r="C327" s="5"/>
      <c r="D327" s="5"/>
      <c r="E327" s="5"/>
      <c r="F327" s="5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8"/>
      <c r="AF327" s="8"/>
      <c r="AG327" s="8"/>
      <c r="AH327" s="8"/>
    </row>
    <row r="328" spans="1:34" ht="15.75" customHeight="1" x14ac:dyDescent="0.3">
      <c r="A328" s="5"/>
      <c r="B328" s="5"/>
      <c r="C328" s="5"/>
      <c r="D328" s="5"/>
      <c r="E328" s="5"/>
      <c r="F328" s="5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8"/>
      <c r="AF328" s="8"/>
      <c r="AG328" s="8"/>
      <c r="AH328" s="8"/>
    </row>
    <row r="329" spans="1:34" ht="15.75" customHeight="1" x14ac:dyDescent="0.3">
      <c r="A329" s="5"/>
      <c r="B329" s="5"/>
      <c r="C329" s="5"/>
      <c r="D329" s="5"/>
      <c r="E329" s="5"/>
      <c r="F329" s="5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8"/>
      <c r="AF329" s="8"/>
      <c r="AG329" s="8"/>
      <c r="AH329" s="8"/>
    </row>
    <row r="330" spans="1:34" ht="15.75" customHeight="1" x14ac:dyDescent="0.3">
      <c r="A330" s="5"/>
      <c r="B330" s="5"/>
      <c r="C330" s="5"/>
      <c r="D330" s="5"/>
      <c r="E330" s="5"/>
      <c r="F330" s="5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8"/>
      <c r="AF330" s="8"/>
      <c r="AG330" s="8"/>
      <c r="AH330" s="8"/>
    </row>
    <row r="331" spans="1:34" ht="15.75" customHeight="1" x14ac:dyDescent="0.3">
      <c r="A331" s="5"/>
      <c r="B331" s="5"/>
      <c r="C331" s="5"/>
      <c r="D331" s="5"/>
      <c r="E331" s="5"/>
      <c r="F331" s="5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8"/>
      <c r="AF331" s="8"/>
      <c r="AG331" s="8"/>
      <c r="AH331" s="8"/>
    </row>
    <row r="332" spans="1:34" ht="15.75" customHeight="1" x14ac:dyDescent="0.3">
      <c r="A332" s="5"/>
      <c r="B332" s="5"/>
      <c r="C332" s="5"/>
      <c r="D332" s="5"/>
      <c r="E332" s="5"/>
      <c r="F332" s="5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8"/>
      <c r="AF332" s="8"/>
      <c r="AG332" s="8"/>
      <c r="AH332" s="8"/>
    </row>
    <row r="333" spans="1:34" ht="15.75" customHeight="1" x14ac:dyDescent="0.3">
      <c r="A333" s="5"/>
      <c r="B333" s="5"/>
      <c r="C333" s="5"/>
      <c r="D333" s="5"/>
      <c r="E333" s="5"/>
      <c r="F333" s="5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8"/>
      <c r="AF333" s="8"/>
      <c r="AG333" s="8"/>
      <c r="AH333" s="8"/>
    </row>
    <row r="334" spans="1:34" ht="15.75" customHeight="1" x14ac:dyDescent="0.3">
      <c r="A334" s="5"/>
      <c r="B334" s="5"/>
      <c r="C334" s="5"/>
      <c r="D334" s="5"/>
      <c r="E334" s="5"/>
      <c r="F334" s="5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8"/>
      <c r="AF334" s="8"/>
      <c r="AG334" s="8"/>
      <c r="AH334" s="8"/>
    </row>
    <row r="335" spans="1:34" ht="15.75" customHeight="1" x14ac:dyDescent="0.3">
      <c r="A335" s="5"/>
      <c r="B335" s="5"/>
      <c r="C335" s="5"/>
      <c r="D335" s="5"/>
      <c r="E335" s="5"/>
      <c r="F335" s="5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8"/>
      <c r="AF335" s="8"/>
      <c r="AG335" s="8"/>
      <c r="AH335" s="8"/>
    </row>
    <row r="336" spans="1:34" ht="15.75" customHeight="1" x14ac:dyDescent="0.3">
      <c r="A336" s="5"/>
      <c r="B336" s="5"/>
      <c r="C336" s="5"/>
      <c r="D336" s="5"/>
      <c r="E336" s="5"/>
      <c r="F336" s="5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8"/>
      <c r="AF336" s="8"/>
      <c r="AG336" s="8"/>
      <c r="AH336" s="8"/>
    </row>
    <row r="337" spans="1:34" ht="15.75" customHeight="1" x14ac:dyDescent="0.3">
      <c r="A337" s="5"/>
      <c r="B337" s="5"/>
      <c r="C337" s="5"/>
      <c r="D337" s="5"/>
      <c r="E337" s="5"/>
      <c r="F337" s="5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8"/>
      <c r="AF337" s="8"/>
      <c r="AG337" s="8"/>
      <c r="AH337" s="8"/>
    </row>
    <row r="338" spans="1:34" ht="15.75" customHeight="1" x14ac:dyDescent="0.3">
      <c r="A338" s="5"/>
      <c r="B338" s="5"/>
      <c r="C338" s="5"/>
      <c r="D338" s="5"/>
      <c r="E338" s="5"/>
      <c r="F338" s="5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8"/>
      <c r="AF338" s="8"/>
      <c r="AG338" s="8"/>
      <c r="AH338" s="8"/>
    </row>
    <row r="339" spans="1:34" ht="15.75" customHeight="1" x14ac:dyDescent="0.3">
      <c r="A339" s="5"/>
      <c r="B339" s="5"/>
      <c r="C339" s="5"/>
      <c r="D339" s="5"/>
      <c r="E339" s="5"/>
      <c r="F339" s="5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8"/>
      <c r="AF339" s="8"/>
      <c r="AG339" s="8"/>
      <c r="AH339" s="8"/>
    </row>
    <row r="340" spans="1:34" ht="15.75" customHeight="1" x14ac:dyDescent="0.3">
      <c r="A340" s="5"/>
      <c r="B340" s="5"/>
      <c r="C340" s="5"/>
      <c r="D340" s="5"/>
      <c r="E340" s="5"/>
      <c r="F340" s="5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8"/>
      <c r="AF340" s="8"/>
      <c r="AG340" s="8"/>
      <c r="AH340" s="8"/>
    </row>
    <row r="341" spans="1:34" ht="15.75" customHeight="1" x14ac:dyDescent="0.3">
      <c r="A341" s="5"/>
      <c r="B341" s="5"/>
      <c r="C341" s="5"/>
      <c r="D341" s="5"/>
      <c r="E341" s="5"/>
      <c r="F341" s="5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8"/>
      <c r="AF341" s="8"/>
      <c r="AG341" s="8"/>
      <c r="AH341" s="8"/>
    </row>
    <row r="342" spans="1:34" ht="15.75" customHeight="1" x14ac:dyDescent="0.3">
      <c r="A342" s="5"/>
      <c r="B342" s="5"/>
      <c r="C342" s="5"/>
      <c r="D342" s="5"/>
      <c r="E342" s="5"/>
      <c r="F342" s="5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8"/>
      <c r="AF342" s="8"/>
      <c r="AG342" s="8"/>
      <c r="AH342" s="8"/>
    </row>
    <row r="343" spans="1:34" ht="15.75" customHeight="1" x14ac:dyDescent="0.3">
      <c r="A343" s="5"/>
      <c r="B343" s="5"/>
      <c r="C343" s="5"/>
      <c r="D343" s="5"/>
      <c r="E343" s="5"/>
      <c r="F343" s="5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8"/>
      <c r="AF343" s="8"/>
      <c r="AG343" s="8"/>
      <c r="AH343" s="8"/>
    </row>
    <row r="344" spans="1:34" ht="15.75" customHeight="1" x14ac:dyDescent="0.3">
      <c r="A344" s="5"/>
      <c r="B344" s="5"/>
      <c r="C344" s="5"/>
      <c r="D344" s="5"/>
      <c r="E344" s="5"/>
      <c r="F344" s="5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8"/>
      <c r="AF344" s="8"/>
      <c r="AG344" s="8"/>
      <c r="AH344" s="8"/>
    </row>
    <row r="345" spans="1:34" ht="15.75" customHeight="1" x14ac:dyDescent="0.3">
      <c r="A345" s="5"/>
      <c r="B345" s="5"/>
      <c r="C345" s="5"/>
      <c r="D345" s="5"/>
      <c r="E345" s="5"/>
      <c r="F345" s="5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8"/>
      <c r="AF345" s="8"/>
      <c r="AG345" s="8"/>
      <c r="AH345" s="8"/>
    </row>
    <row r="346" spans="1:34" ht="15.75" customHeight="1" x14ac:dyDescent="0.3">
      <c r="A346" s="5"/>
      <c r="B346" s="5"/>
      <c r="C346" s="5"/>
      <c r="D346" s="5"/>
      <c r="E346" s="5"/>
      <c r="F346" s="5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8"/>
      <c r="AF346" s="8"/>
      <c r="AG346" s="8"/>
      <c r="AH346" s="8"/>
    </row>
    <row r="347" spans="1:34" ht="15.75" customHeight="1" x14ac:dyDescent="0.3">
      <c r="A347" s="5"/>
      <c r="B347" s="5"/>
      <c r="C347" s="5"/>
      <c r="D347" s="5"/>
      <c r="E347" s="5"/>
      <c r="F347" s="5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8"/>
      <c r="AF347" s="8"/>
      <c r="AG347" s="8"/>
      <c r="AH347" s="8"/>
    </row>
    <row r="348" spans="1:34" ht="15.75" customHeight="1" x14ac:dyDescent="0.3">
      <c r="A348" s="5"/>
      <c r="B348" s="5"/>
      <c r="C348" s="5"/>
      <c r="D348" s="5"/>
      <c r="E348" s="5"/>
      <c r="F348" s="5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8"/>
      <c r="AF348" s="8"/>
      <c r="AG348" s="8"/>
      <c r="AH348" s="8"/>
    </row>
    <row r="349" spans="1:34" ht="15.75" customHeight="1" x14ac:dyDescent="0.3">
      <c r="A349" s="5"/>
      <c r="B349" s="5"/>
      <c r="C349" s="5"/>
      <c r="D349" s="5"/>
      <c r="E349" s="5"/>
      <c r="F349" s="5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8"/>
      <c r="AF349" s="8"/>
      <c r="AG349" s="8"/>
      <c r="AH349" s="8"/>
    </row>
    <row r="350" spans="1:34" ht="15.75" customHeight="1" x14ac:dyDescent="0.3">
      <c r="A350" s="5"/>
      <c r="B350" s="5"/>
      <c r="C350" s="5"/>
      <c r="D350" s="5"/>
      <c r="E350" s="5"/>
      <c r="F350" s="5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8"/>
      <c r="AF350" s="8"/>
      <c r="AG350" s="8"/>
      <c r="AH350" s="8"/>
    </row>
    <row r="351" spans="1:34" ht="15.75" customHeight="1" x14ac:dyDescent="0.3">
      <c r="A351" s="5"/>
      <c r="B351" s="5"/>
      <c r="C351" s="5"/>
      <c r="D351" s="5"/>
      <c r="E351" s="5"/>
      <c r="F351" s="5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8"/>
      <c r="AF351" s="8"/>
      <c r="AG351" s="8"/>
      <c r="AH351" s="8"/>
    </row>
    <row r="352" spans="1:34" ht="15.75" customHeight="1" x14ac:dyDescent="0.3">
      <c r="A352" s="5"/>
      <c r="B352" s="5"/>
      <c r="C352" s="5"/>
      <c r="D352" s="5"/>
      <c r="E352" s="5"/>
      <c r="F352" s="5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8"/>
      <c r="AF352" s="8"/>
      <c r="AG352" s="8"/>
      <c r="AH352" s="8"/>
    </row>
    <row r="353" spans="1:34" ht="15.75" customHeight="1" x14ac:dyDescent="0.3">
      <c r="A353" s="5"/>
      <c r="B353" s="5"/>
      <c r="C353" s="5"/>
      <c r="D353" s="5"/>
      <c r="E353" s="5"/>
      <c r="F353" s="5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8"/>
      <c r="AF353" s="8"/>
      <c r="AG353" s="8"/>
      <c r="AH353" s="8"/>
    </row>
    <row r="354" spans="1:34" ht="15.75" customHeight="1" x14ac:dyDescent="0.3">
      <c r="A354" s="5"/>
      <c r="B354" s="5"/>
      <c r="C354" s="5"/>
      <c r="D354" s="5"/>
      <c r="E354" s="5"/>
      <c r="F354" s="5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8"/>
      <c r="AF354" s="8"/>
      <c r="AG354" s="8"/>
      <c r="AH354" s="8"/>
    </row>
    <row r="355" spans="1:34" ht="15.75" customHeight="1" x14ac:dyDescent="0.3">
      <c r="A355" s="5"/>
      <c r="B355" s="5"/>
      <c r="C355" s="5"/>
      <c r="D355" s="5"/>
      <c r="E355" s="5"/>
      <c r="F355" s="5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8"/>
      <c r="AF355" s="8"/>
      <c r="AG355" s="8"/>
      <c r="AH355" s="8"/>
    </row>
    <row r="356" spans="1:34" ht="15.75" customHeight="1" x14ac:dyDescent="0.3">
      <c r="A356" s="5"/>
      <c r="B356" s="5"/>
      <c r="C356" s="5"/>
      <c r="D356" s="5"/>
      <c r="E356" s="5"/>
      <c r="F356" s="5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8"/>
      <c r="AF356" s="8"/>
      <c r="AG356" s="8"/>
      <c r="AH356" s="8"/>
    </row>
    <row r="357" spans="1:34" ht="15.75" customHeight="1" x14ac:dyDescent="0.3">
      <c r="A357" s="5"/>
      <c r="B357" s="5"/>
      <c r="C357" s="5"/>
      <c r="D357" s="5"/>
      <c r="E357" s="5"/>
      <c r="F357" s="5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8"/>
      <c r="AF357" s="8"/>
      <c r="AG357" s="8"/>
      <c r="AH357" s="8"/>
    </row>
    <row r="358" spans="1:34" ht="15.75" customHeight="1" x14ac:dyDescent="0.3">
      <c r="A358" s="5"/>
      <c r="B358" s="5"/>
      <c r="C358" s="5"/>
      <c r="D358" s="5"/>
      <c r="E358" s="5"/>
      <c r="F358" s="5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8"/>
      <c r="AF358" s="8"/>
      <c r="AG358" s="8"/>
      <c r="AH358" s="8"/>
    </row>
    <row r="359" spans="1:34" ht="15.75" customHeight="1" x14ac:dyDescent="0.3">
      <c r="A359" s="5"/>
      <c r="B359" s="5"/>
      <c r="C359" s="5"/>
      <c r="D359" s="5"/>
      <c r="E359" s="5"/>
      <c r="F359" s="5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8"/>
      <c r="AF359" s="8"/>
      <c r="AG359" s="8"/>
      <c r="AH359" s="8"/>
    </row>
    <row r="360" spans="1:34" ht="15.75" customHeight="1" x14ac:dyDescent="0.3">
      <c r="A360" s="5"/>
      <c r="B360" s="5"/>
      <c r="C360" s="5"/>
      <c r="D360" s="5"/>
      <c r="E360" s="5"/>
      <c r="F360" s="5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8"/>
      <c r="AF360" s="8"/>
      <c r="AG360" s="8"/>
      <c r="AH360" s="8"/>
    </row>
    <row r="361" spans="1:34" ht="15.75" customHeight="1" x14ac:dyDescent="0.3">
      <c r="A361" s="5"/>
      <c r="B361" s="5"/>
      <c r="C361" s="5"/>
      <c r="D361" s="5"/>
      <c r="E361" s="5"/>
      <c r="F361" s="5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8"/>
      <c r="AF361" s="8"/>
      <c r="AG361" s="8"/>
      <c r="AH361" s="8"/>
    </row>
    <row r="362" spans="1:34" ht="15.75" customHeight="1" x14ac:dyDescent="0.3">
      <c r="A362" s="5"/>
      <c r="B362" s="5"/>
      <c r="C362" s="5"/>
      <c r="D362" s="5"/>
      <c r="E362" s="5"/>
      <c r="F362" s="5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8"/>
      <c r="AF362" s="8"/>
      <c r="AG362" s="8"/>
      <c r="AH362" s="8"/>
    </row>
    <row r="363" spans="1:34" ht="15.75" customHeight="1" x14ac:dyDescent="0.3">
      <c r="A363" s="5"/>
      <c r="B363" s="5"/>
      <c r="C363" s="5"/>
      <c r="D363" s="5"/>
      <c r="E363" s="5"/>
      <c r="F363" s="5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8"/>
      <c r="AF363" s="8"/>
      <c r="AG363" s="8"/>
      <c r="AH363" s="8"/>
    </row>
    <row r="364" spans="1:34" ht="15.75" customHeight="1" x14ac:dyDescent="0.3">
      <c r="A364" s="5"/>
      <c r="B364" s="5"/>
      <c r="C364" s="5"/>
      <c r="D364" s="5"/>
      <c r="E364" s="5"/>
      <c r="F364" s="5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8"/>
      <c r="AF364" s="8"/>
      <c r="AG364" s="8"/>
      <c r="AH364" s="8"/>
    </row>
    <row r="365" spans="1:34" ht="15.75" customHeight="1" x14ac:dyDescent="0.3">
      <c r="A365" s="5"/>
      <c r="B365" s="5"/>
      <c r="C365" s="5"/>
      <c r="D365" s="5"/>
      <c r="E365" s="5"/>
      <c r="F365" s="5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8"/>
      <c r="AF365" s="8"/>
      <c r="AG365" s="8"/>
      <c r="AH365" s="8"/>
    </row>
    <row r="366" spans="1:34" ht="15.75" customHeight="1" x14ac:dyDescent="0.3">
      <c r="A366" s="5"/>
      <c r="B366" s="5"/>
      <c r="C366" s="5"/>
      <c r="D366" s="5"/>
      <c r="E366" s="5"/>
      <c r="F366" s="5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8"/>
      <c r="AF366" s="8"/>
      <c r="AG366" s="8"/>
      <c r="AH366" s="8"/>
    </row>
    <row r="367" spans="1:34" ht="15.75" customHeight="1" x14ac:dyDescent="0.3">
      <c r="A367" s="5"/>
      <c r="B367" s="5"/>
      <c r="C367" s="5"/>
      <c r="D367" s="5"/>
      <c r="E367" s="5"/>
      <c r="F367" s="5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8"/>
      <c r="AF367" s="8"/>
      <c r="AG367" s="8"/>
      <c r="AH367" s="8"/>
    </row>
    <row r="368" spans="1:34" ht="15.75" customHeight="1" x14ac:dyDescent="0.3">
      <c r="A368" s="5"/>
      <c r="B368" s="5"/>
      <c r="C368" s="5"/>
      <c r="D368" s="5"/>
      <c r="E368" s="5"/>
      <c r="F368" s="5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8"/>
      <c r="AF368" s="8"/>
      <c r="AG368" s="8"/>
      <c r="AH368" s="8"/>
    </row>
    <row r="369" spans="1:34" ht="15.75" customHeight="1" x14ac:dyDescent="0.3">
      <c r="A369" s="5"/>
      <c r="B369" s="5"/>
      <c r="C369" s="5"/>
      <c r="D369" s="5"/>
      <c r="E369" s="5"/>
      <c r="F369" s="5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8"/>
      <c r="AF369" s="8"/>
      <c r="AG369" s="8"/>
      <c r="AH369" s="8"/>
    </row>
    <row r="370" spans="1:34" ht="15.75" customHeight="1" x14ac:dyDescent="0.3">
      <c r="A370" s="5"/>
      <c r="B370" s="5"/>
      <c r="C370" s="5"/>
      <c r="D370" s="5"/>
      <c r="E370" s="5"/>
      <c r="F370" s="5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8"/>
      <c r="AF370" s="8"/>
      <c r="AG370" s="8"/>
      <c r="AH370" s="8"/>
    </row>
    <row r="371" spans="1:34" ht="15.75" customHeight="1" x14ac:dyDescent="0.3">
      <c r="A371" s="5"/>
      <c r="B371" s="5"/>
      <c r="C371" s="5"/>
      <c r="D371" s="5"/>
      <c r="E371" s="5"/>
      <c r="F371" s="5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8"/>
      <c r="AF371" s="8"/>
      <c r="AG371" s="8"/>
      <c r="AH371" s="8"/>
    </row>
    <row r="372" spans="1:34" ht="15.75" customHeight="1" x14ac:dyDescent="0.3">
      <c r="A372" s="5"/>
      <c r="B372" s="5"/>
      <c r="C372" s="5"/>
      <c r="D372" s="5"/>
      <c r="E372" s="5"/>
      <c r="F372" s="5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8"/>
      <c r="AF372" s="8"/>
      <c r="AG372" s="8"/>
      <c r="AH372" s="8"/>
    </row>
    <row r="373" spans="1:34" ht="15.75" customHeight="1" x14ac:dyDescent="0.3">
      <c r="A373" s="5"/>
      <c r="B373" s="5"/>
      <c r="C373" s="5"/>
      <c r="D373" s="5"/>
      <c r="E373" s="5"/>
      <c r="F373" s="5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8"/>
      <c r="AF373" s="8"/>
      <c r="AG373" s="8"/>
      <c r="AH373" s="8"/>
    </row>
    <row r="374" spans="1:34" ht="15.75" customHeight="1" x14ac:dyDescent="0.3">
      <c r="A374" s="5"/>
      <c r="B374" s="5"/>
      <c r="C374" s="5"/>
      <c r="D374" s="5"/>
      <c r="E374" s="5"/>
      <c r="F374" s="5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8"/>
      <c r="AF374" s="8"/>
      <c r="AG374" s="8"/>
      <c r="AH374" s="8"/>
    </row>
    <row r="375" spans="1:34" ht="15.75" customHeight="1" x14ac:dyDescent="0.3">
      <c r="A375" s="5"/>
      <c r="B375" s="5"/>
      <c r="C375" s="5"/>
      <c r="D375" s="5"/>
      <c r="E375" s="5"/>
      <c r="F375" s="5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8"/>
      <c r="AF375" s="8"/>
      <c r="AG375" s="8"/>
      <c r="AH375" s="8"/>
    </row>
    <row r="376" spans="1:34" ht="15.75" customHeight="1" x14ac:dyDescent="0.3">
      <c r="A376" s="5"/>
      <c r="B376" s="5"/>
      <c r="C376" s="5"/>
      <c r="D376" s="5"/>
      <c r="E376" s="5"/>
      <c r="F376" s="5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8"/>
      <c r="AF376" s="8"/>
      <c r="AG376" s="8"/>
      <c r="AH376" s="8"/>
    </row>
    <row r="377" spans="1:34" ht="15.75" customHeight="1" x14ac:dyDescent="0.3">
      <c r="A377" s="5"/>
      <c r="B377" s="5"/>
      <c r="C377" s="5"/>
      <c r="D377" s="5"/>
      <c r="E377" s="5"/>
      <c r="F377" s="5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8"/>
      <c r="AF377" s="8"/>
      <c r="AG377" s="8"/>
      <c r="AH377" s="8"/>
    </row>
    <row r="378" spans="1:34" ht="15.75" customHeight="1" x14ac:dyDescent="0.3">
      <c r="A378" s="5"/>
      <c r="B378" s="5"/>
      <c r="C378" s="5"/>
      <c r="D378" s="5"/>
      <c r="E378" s="5"/>
      <c r="F378" s="5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8"/>
      <c r="AF378" s="8"/>
      <c r="AG378" s="8"/>
      <c r="AH378" s="8"/>
    </row>
    <row r="379" spans="1:34" ht="15.75" customHeight="1" x14ac:dyDescent="0.3">
      <c r="A379" s="5"/>
      <c r="B379" s="5"/>
      <c r="C379" s="5"/>
      <c r="D379" s="5"/>
      <c r="E379" s="5"/>
      <c r="F379" s="5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8"/>
      <c r="AF379" s="8"/>
      <c r="AG379" s="8"/>
      <c r="AH379" s="8"/>
    </row>
    <row r="380" spans="1:34" ht="15.75" customHeight="1" x14ac:dyDescent="0.3">
      <c r="A380" s="5"/>
      <c r="B380" s="5"/>
      <c r="C380" s="5"/>
      <c r="D380" s="5"/>
      <c r="E380" s="5"/>
      <c r="F380" s="5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8"/>
      <c r="AF380" s="8"/>
      <c r="AG380" s="8"/>
      <c r="AH380" s="8"/>
    </row>
    <row r="381" spans="1:34" ht="15.75" customHeight="1" x14ac:dyDescent="0.3">
      <c r="A381" s="5"/>
      <c r="B381" s="5"/>
      <c r="C381" s="5"/>
      <c r="D381" s="5"/>
      <c r="E381" s="5"/>
      <c r="F381" s="5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8"/>
      <c r="AF381" s="8"/>
      <c r="AG381" s="8"/>
      <c r="AH381" s="8"/>
    </row>
    <row r="382" spans="1:34" ht="15.75" customHeight="1" x14ac:dyDescent="0.3">
      <c r="A382" s="5"/>
      <c r="B382" s="5"/>
      <c r="C382" s="5"/>
      <c r="D382" s="5"/>
      <c r="E382" s="5"/>
      <c r="F382" s="5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8"/>
      <c r="AF382" s="8"/>
      <c r="AG382" s="8"/>
      <c r="AH382" s="8"/>
    </row>
    <row r="383" spans="1:34" ht="15.75" customHeight="1" x14ac:dyDescent="0.3">
      <c r="A383" s="5"/>
      <c r="B383" s="5"/>
      <c r="C383" s="5"/>
      <c r="D383" s="5"/>
      <c r="E383" s="5"/>
      <c r="F383" s="5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8"/>
      <c r="AF383" s="8"/>
      <c r="AG383" s="8"/>
      <c r="AH383" s="8"/>
    </row>
    <row r="384" spans="1:34" ht="15.75" customHeight="1" x14ac:dyDescent="0.3">
      <c r="A384" s="5"/>
      <c r="B384" s="5"/>
      <c r="C384" s="5"/>
      <c r="D384" s="5"/>
      <c r="E384" s="5"/>
      <c r="F384" s="5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8"/>
      <c r="AF384" s="8"/>
      <c r="AG384" s="8"/>
      <c r="AH384" s="8"/>
    </row>
    <row r="385" spans="1:34" ht="15.75" customHeight="1" x14ac:dyDescent="0.3">
      <c r="A385" s="5"/>
      <c r="B385" s="5"/>
      <c r="C385" s="5"/>
      <c r="D385" s="5"/>
      <c r="E385" s="5"/>
      <c r="F385" s="5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8"/>
      <c r="AF385" s="8"/>
      <c r="AG385" s="8"/>
      <c r="AH385" s="8"/>
    </row>
    <row r="386" spans="1:34" ht="15.75" customHeight="1" x14ac:dyDescent="0.3">
      <c r="A386" s="5"/>
      <c r="B386" s="5"/>
      <c r="C386" s="5"/>
      <c r="D386" s="5"/>
      <c r="E386" s="5"/>
      <c r="F386" s="5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8"/>
      <c r="AF386" s="8"/>
      <c r="AG386" s="8"/>
      <c r="AH386" s="8"/>
    </row>
    <row r="387" spans="1:34" ht="15.75" customHeight="1" x14ac:dyDescent="0.3">
      <c r="A387" s="5"/>
      <c r="B387" s="5"/>
      <c r="C387" s="5"/>
      <c r="D387" s="5"/>
      <c r="E387" s="5"/>
      <c r="F387" s="5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8"/>
      <c r="AF387" s="8"/>
      <c r="AG387" s="8"/>
      <c r="AH387" s="8"/>
    </row>
    <row r="388" spans="1:34" ht="15.75" customHeight="1" x14ac:dyDescent="0.3">
      <c r="A388" s="5"/>
      <c r="B388" s="5"/>
      <c r="C388" s="5"/>
      <c r="D388" s="5"/>
      <c r="E388" s="5"/>
      <c r="F388" s="5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8"/>
      <c r="AF388" s="8"/>
      <c r="AG388" s="8"/>
      <c r="AH388" s="8"/>
    </row>
    <row r="389" spans="1:34" ht="15.75" customHeight="1" x14ac:dyDescent="0.3">
      <c r="A389" s="5"/>
      <c r="B389" s="5"/>
      <c r="C389" s="5"/>
      <c r="D389" s="5"/>
      <c r="E389" s="5"/>
      <c r="F389" s="5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8"/>
      <c r="AF389" s="8"/>
      <c r="AG389" s="8"/>
      <c r="AH389" s="8"/>
    </row>
    <row r="390" spans="1:34" ht="15.75" customHeight="1" x14ac:dyDescent="0.3">
      <c r="A390" s="5"/>
      <c r="B390" s="5"/>
      <c r="C390" s="5"/>
      <c r="D390" s="5"/>
      <c r="E390" s="5"/>
      <c r="F390" s="5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8"/>
      <c r="AF390" s="8"/>
      <c r="AG390" s="8"/>
      <c r="AH390" s="8"/>
    </row>
    <row r="391" spans="1:34" ht="15.75" customHeight="1" x14ac:dyDescent="0.3">
      <c r="A391" s="5"/>
      <c r="B391" s="5"/>
      <c r="C391" s="5"/>
      <c r="D391" s="5"/>
      <c r="E391" s="5"/>
      <c r="F391" s="5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8"/>
      <c r="AF391" s="8"/>
      <c r="AG391" s="8"/>
      <c r="AH391" s="8"/>
    </row>
    <row r="392" spans="1:34" ht="15.75" customHeight="1" x14ac:dyDescent="0.3">
      <c r="A392" s="5"/>
      <c r="B392" s="5"/>
      <c r="C392" s="5"/>
      <c r="D392" s="5"/>
      <c r="E392" s="5"/>
      <c r="F392" s="5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8"/>
      <c r="AF392" s="8"/>
      <c r="AG392" s="8"/>
      <c r="AH392" s="8"/>
    </row>
    <row r="393" spans="1:34" ht="15.75" customHeight="1" x14ac:dyDescent="0.3">
      <c r="A393" s="5"/>
      <c r="B393" s="5"/>
      <c r="C393" s="5"/>
      <c r="D393" s="5"/>
      <c r="E393" s="5"/>
      <c r="F393" s="5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8"/>
      <c r="AF393" s="8"/>
      <c r="AG393" s="8"/>
      <c r="AH393" s="8"/>
    </row>
    <row r="394" spans="1:34" ht="15.75" customHeight="1" x14ac:dyDescent="0.3">
      <c r="A394" s="5"/>
      <c r="B394" s="5"/>
      <c r="C394" s="5"/>
      <c r="D394" s="5"/>
      <c r="E394" s="5"/>
      <c r="F394" s="5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8"/>
      <c r="AF394" s="8"/>
      <c r="AG394" s="8"/>
      <c r="AH394" s="8"/>
    </row>
    <row r="395" spans="1:34" ht="15.75" customHeight="1" x14ac:dyDescent="0.3">
      <c r="A395" s="5"/>
      <c r="B395" s="5"/>
      <c r="C395" s="5"/>
      <c r="D395" s="5"/>
      <c r="E395" s="5"/>
      <c r="F395" s="5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8"/>
      <c r="AF395" s="8"/>
      <c r="AG395" s="8"/>
      <c r="AH395" s="8"/>
    </row>
    <row r="396" spans="1:34" ht="15.75" customHeight="1" x14ac:dyDescent="0.3">
      <c r="A396" s="5"/>
      <c r="B396" s="5"/>
      <c r="C396" s="5"/>
      <c r="D396" s="5"/>
      <c r="E396" s="5"/>
      <c r="F396" s="5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8"/>
      <c r="AF396" s="8"/>
      <c r="AG396" s="8"/>
      <c r="AH396" s="8"/>
    </row>
    <row r="397" spans="1:34" ht="15.75" customHeight="1" x14ac:dyDescent="0.3">
      <c r="A397" s="5"/>
      <c r="B397" s="5"/>
      <c r="C397" s="5"/>
      <c r="D397" s="5"/>
      <c r="E397" s="5"/>
      <c r="F397" s="5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8"/>
      <c r="AF397" s="8"/>
      <c r="AG397" s="8"/>
      <c r="AH397" s="8"/>
    </row>
    <row r="398" spans="1:34" ht="15.75" customHeight="1" x14ac:dyDescent="0.3">
      <c r="A398" s="5"/>
      <c r="B398" s="5"/>
      <c r="C398" s="5"/>
      <c r="D398" s="5"/>
      <c r="E398" s="5"/>
      <c r="F398" s="5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8"/>
      <c r="AF398" s="8"/>
      <c r="AG398" s="8"/>
      <c r="AH398" s="8"/>
    </row>
    <row r="399" spans="1:34" ht="15.75" customHeight="1" x14ac:dyDescent="0.3">
      <c r="A399" s="5"/>
      <c r="B399" s="5"/>
      <c r="C399" s="5"/>
      <c r="D399" s="5"/>
      <c r="E399" s="5"/>
      <c r="F399" s="5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8"/>
      <c r="AF399" s="8"/>
      <c r="AG399" s="8"/>
      <c r="AH399" s="8"/>
    </row>
    <row r="400" spans="1:34" ht="15.75" customHeight="1" x14ac:dyDescent="0.3">
      <c r="A400" s="5"/>
      <c r="B400" s="5"/>
      <c r="C400" s="5"/>
      <c r="D400" s="5"/>
      <c r="E400" s="5"/>
      <c r="F400" s="5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8"/>
      <c r="AF400" s="8"/>
      <c r="AG400" s="8"/>
      <c r="AH400" s="8"/>
    </row>
    <row r="401" spans="1:34" ht="15.75" customHeight="1" x14ac:dyDescent="0.3">
      <c r="A401" s="5"/>
      <c r="B401" s="5"/>
      <c r="C401" s="5"/>
      <c r="D401" s="5"/>
      <c r="E401" s="5"/>
      <c r="F401" s="5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8"/>
      <c r="AF401" s="8"/>
      <c r="AG401" s="8"/>
      <c r="AH401" s="8"/>
    </row>
    <row r="402" spans="1:34" ht="15.75" customHeight="1" x14ac:dyDescent="0.3">
      <c r="A402" s="5"/>
      <c r="B402" s="5"/>
      <c r="C402" s="5"/>
      <c r="D402" s="5"/>
      <c r="E402" s="5"/>
      <c r="F402" s="5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8"/>
      <c r="AF402" s="8"/>
      <c r="AG402" s="8"/>
      <c r="AH402" s="8"/>
    </row>
    <row r="403" spans="1:34" ht="15.75" customHeight="1" x14ac:dyDescent="0.3">
      <c r="A403" s="5"/>
      <c r="B403" s="5"/>
      <c r="C403" s="5"/>
      <c r="D403" s="5"/>
      <c r="E403" s="5"/>
      <c r="F403" s="5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8"/>
      <c r="AF403" s="8"/>
      <c r="AG403" s="8"/>
      <c r="AH403" s="8"/>
    </row>
    <row r="404" spans="1:34" ht="15.75" customHeight="1" x14ac:dyDescent="0.3">
      <c r="A404" s="5"/>
      <c r="B404" s="5"/>
      <c r="C404" s="5"/>
      <c r="D404" s="5"/>
      <c r="E404" s="5"/>
      <c r="F404" s="5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8"/>
      <c r="AF404" s="8"/>
      <c r="AG404" s="8"/>
      <c r="AH404" s="8"/>
    </row>
    <row r="405" spans="1:34" ht="15.75" customHeight="1" x14ac:dyDescent="0.3">
      <c r="A405" s="5"/>
      <c r="B405" s="5"/>
      <c r="C405" s="5"/>
      <c r="D405" s="5"/>
      <c r="E405" s="5"/>
      <c r="F405" s="5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8"/>
      <c r="AF405" s="8"/>
      <c r="AG405" s="8"/>
      <c r="AH405" s="8"/>
    </row>
    <row r="406" spans="1:34" ht="15.75" customHeight="1" x14ac:dyDescent="0.3">
      <c r="A406" s="5"/>
      <c r="B406" s="5"/>
      <c r="C406" s="5"/>
      <c r="D406" s="5"/>
      <c r="E406" s="5"/>
      <c r="F406" s="5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8"/>
      <c r="AF406" s="8"/>
      <c r="AG406" s="8"/>
      <c r="AH406" s="8"/>
    </row>
    <row r="407" spans="1:34" ht="15.75" customHeight="1" x14ac:dyDescent="0.3">
      <c r="A407" s="5"/>
      <c r="B407" s="5"/>
      <c r="C407" s="5"/>
      <c r="D407" s="5"/>
      <c r="E407" s="5"/>
      <c r="F407" s="5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8"/>
      <c r="AF407" s="8"/>
      <c r="AG407" s="8"/>
      <c r="AH407" s="8"/>
    </row>
    <row r="408" spans="1:34" ht="15.75" customHeight="1" x14ac:dyDescent="0.3">
      <c r="A408" s="5"/>
      <c r="B408" s="5"/>
      <c r="C408" s="5"/>
      <c r="D408" s="5"/>
      <c r="E408" s="5"/>
      <c r="F408" s="5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8"/>
      <c r="AF408" s="8"/>
      <c r="AG408" s="8"/>
      <c r="AH408" s="8"/>
    </row>
    <row r="409" spans="1:34" ht="15.75" customHeight="1" x14ac:dyDescent="0.3">
      <c r="A409" s="5"/>
      <c r="B409" s="5"/>
      <c r="C409" s="5"/>
      <c r="D409" s="5"/>
      <c r="E409" s="5"/>
      <c r="F409" s="5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8"/>
      <c r="AF409" s="8"/>
      <c r="AG409" s="8"/>
      <c r="AH409" s="8"/>
    </row>
    <row r="410" spans="1:34" ht="15.75" customHeight="1" x14ac:dyDescent="0.3">
      <c r="A410" s="5"/>
      <c r="B410" s="5"/>
      <c r="C410" s="5"/>
      <c r="D410" s="5"/>
      <c r="E410" s="5"/>
      <c r="F410" s="5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8"/>
      <c r="AF410" s="8"/>
      <c r="AG410" s="8"/>
      <c r="AH410" s="8"/>
    </row>
    <row r="411" spans="1:34" ht="15.75" customHeight="1" x14ac:dyDescent="0.3">
      <c r="A411" s="5"/>
      <c r="B411" s="5"/>
      <c r="C411" s="5"/>
      <c r="D411" s="5"/>
      <c r="E411" s="5"/>
      <c r="F411" s="5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8"/>
      <c r="AF411" s="8"/>
      <c r="AG411" s="8"/>
      <c r="AH411" s="8"/>
    </row>
    <row r="412" spans="1:34" ht="15.75" customHeight="1" x14ac:dyDescent="0.3">
      <c r="A412" s="5"/>
      <c r="B412" s="5"/>
      <c r="C412" s="5"/>
      <c r="D412" s="5"/>
      <c r="E412" s="5"/>
      <c r="F412" s="5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8"/>
      <c r="AF412" s="8"/>
      <c r="AG412" s="8"/>
      <c r="AH412" s="8"/>
    </row>
    <row r="413" spans="1:34" ht="15.75" customHeight="1" x14ac:dyDescent="0.3">
      <c r="A413" s="5"/>
      <c r="B413" s="5"/>
      <c r="C413" s="5"/>
      <c r="D413" s="5"/>
      <c r="E413" s="5"/>
      <c r="F413" s="5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8"/>
      <c r="AF413" s="8"/>
      <c r="AG413" s="8"/>
      <c r="AH413" s="8"/>
    </row>
    <row r="414" spans="1:34" ht="15.75" customHeight="1" x14ac:dyDescent="0.3">
      <c r="A414" s="5"/>
      <c r="B414" s="5"/>
      <c r="C414" s="5"/>
      <c r="D414" s="5"/>
      <c r="E414" s="5"/>
      <c r="F414" s="5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8"/>
      <c r="AF414" s="8"/>
      <c r="AG414" s="8"/>
      <c r="AH414" s="8"/>
    </row>
    <row r="415" spans="1:34" ht="15.75" customHeight="1" x14ac:dyDescent="0.3">
      <c r="A415" s="5"/>
      <c r="B415" s="5"/>
      <c r="C415" s="5"/>
      <c r="D415" s="5"/>
      <c r="E415" s="5"/>
      <c r="F415" s="5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8"/>
      <c r="AF415" s="8"/>
      <c r="AG415" s="8"/>
      <c r="AH415" s="8"/>
    </row>
    <row r="416" spans="1:34" ht="15.75" customHeight="1" x14ac:dyDescent="0.3">
      <c r="A416" s="5"/>
      <c r="B416" s="5"/>
      <c r="C416" s="5"/>
      <c r="D416" s="5"/>
      <c r="E416" s="5"/>
      <c r="F416" s="5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8"/>
      <c r="AF416" s="8"/>
      <c r="AG416" s="8"/>
      <c r="AH416" s="8"/>
    </row>
    <row r="417" spans="1:34" ht="15.75" customHeight="1" x14ac:dyDescent="0.3">
      <c r="A417" s="5"/>
      <c r="B417" s="5"/>
      <c r="C417" s="5"/>
      <c r="D417" s="5"/>
      <c r="E417" s="5"/>
      <c r="F417" s="5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8"/>
      <c r="AF417" s="8"/>
      <c r="AG417" s="8"/>
      <c r="AH417" s="8"/>
    </row>
    <row r="418" spans="1:34" ht="15.75" customHeight="1" x14ac:dyDescent="0.3">
      <c r="A418" s="5"/>
      <c r="B418" s="5"/>
      <c r="C418" s="5"/>
      <c r="D418" s="5"/>
      <c r="E418" s="5"/>
      <c r="F418" s="5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8"/>
      <c r="AF418" s="8"/>
      <c r="AG418" s="8"/>
      <c r="AH418" s="8"/>
    </row>
    <row r="419" spans="1:34" ht="15.75" customHeight="1" x14ac:dyDescent="0.3">
      <c r="A419" s="5"/>
      <c r="B419" s="5"/>
      <c r="C419" s="5"/>
      <c r="D419" s="5"/>
      <c r="E419" s="5"/>
      <c r="F419" s="5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8"/>
      <c r="AF419" s="8"/>
      <c r="AG419" s="8"/>
      <c r="AH419" s="8"/>
    </row>
    <row r="420" spans="1:34" ht="15.75" customHeight="1" x14ac:dyDescent="0.3">
      <c r="A420" s="5"/>
      <c r="B420" s="5"/>
      <c r="C420" s="5"/>
      <c r="D420" s="5"/>
      <c r="E420" s="5"/>
      <c r="F420" s="5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8"/>
      <c r="AF420" s="8"/>
      <c r="AG420" s="8"/>
      <c r="AH420" s="8"/>
    </row>
    <row r="421" spans="1:34" ht="15.75" customHeight="1" x14ac:dyDescent="0.3">
      <c r="A421" s="5"/>
      <c r="B421" s="5"/>
      <c r="C421" s="5"/>
      <c r="D421" s="5"/>
      <c r="E421" s="5"/>
      <c r="F421" s="5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8"/>
      <c r="AF421" s="8"/>
      <c r="AG421" s="8"/>
      <c r="AH421" s="8"/>
    </row>
    <row r="422" spans="1:34" ht="15.75" customHeight="1" x14ac:dyDescent="0.3">
      <c r="A422" s="5"/>
      <c r="B422" s="5"/>
      <c r="C422" s="5"/>
      <c r="D422" s="5"/>
      <c r="E422" s="5"/>
      <c r="F422" s="5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8"/>
      <c r="AF422" s="8"/>
      <c r="AG422" s="8"/>
      <c r="AH422" s="8"/>
    </row>
    <row r="423" spans="1:34" ht="15.75" customHeight="1" x14ac:dyDescent="0.3">
      <c r="A423" s="5"/>
      <c r="B423" s="5"/>
      <c r="C423" s="5"/>
      <c r="D423" s="5"/>
      <c r="E423" s="5"/>
      <c r="F423" s="5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8"/>
      <c r="AF423" s="8"/>
      <c r="AG423" s="8"/>
      <c r="AH423" s="8"/>
    </row>
    <row r="424" spans="1:34" ht="15.75" customHeight="1" x14ac:dyDescent="0.3">
      <c r="A424" s="5"/>
      <c r="B424" s="5"/>
      <c r="C424" s="5"/>
      <c r="D424" s="5"/>
      <c r="E424" s="5"/>
      <c r="F424" s="5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8"/>
      <c r="AF424" s="8"/>
      <c r="AG424" s="8"/>
      <c r="AH424" s="8"/>
    </row>
    <row r="425" spans="1:34" ht="15.75" customHeight="1" x14ac:dyDescent="0.3">
      <c r="A425" s="5"/>
      <c r="B425" s="5"/>
      <c r="C425" s="5"/>
      <c r="D425" s="5"/>
      <c r="E425" s="5"/>
      <c r="F425" s="5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8"/>
      <c r="AF425" s="8"/>
      <c r="AG425" s="8"/>
      <c r="AH425" s="8"/>
    </row>
    <row r="426" spans="1:34" ht="15.75" customHeight="1" x14ac:dyDescent="0.3">
      <c r="A426" s="5"/>
      <c r="B426" s="5"/>
      <c r="C426" s="5"/>
      <c r="D426" s="5"/>
      <c r="E426" s="5"/>
      <c r="F426" s="5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8"/>
      <c r="AF426" s="8"/>
      <c r="AG426" s="8"/>
      <c r="AH426" s="8"/>
    </row>
    <row r="427" spans="1:34" ht="15.75" customHeight="1" x14ac:dyDescent="0.3">
      <c r="A427" s="5"/>
      <c r="B427" s="5"/>
      <c r="C427" s="5"/>
      <c r="D427" s="5"/>
      <c r="E427" s="5"/>
      <c r="F427" s="5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8"/>
      <c r="AF427" s="8"/>
      <c r="AG427" s="8"/>
      <c r="AH427" s="8"/>
    </row>
    <row r="428" spans="1:34" ht="15.75" customHeight="1" x14ac:dyDescent="0.3">
      <c r="A428" s="5"/>
      <c r="B428" s="5"/>
      <c r="C428" s="5"/>
      <c r="D428" s="5"/>
      <c r="E428" s="5"/>
      <c r="F428" s="5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8"/>
      <c r="AF428" s="8"/>
      <c r="AG428" s="8"/>
      <c r="AH428" s="8"/>
    </row>
    <row r="429" spans="1:34" ht="15.75" customHeight="1" x14ac:dyDescent="0.3">
      <c r="A429" s="5"/>
      <c r="B429" s="5"/>
      <c r="C429" s="5"/>
      <c r="D429" s="5"/>
      <c r="E429" s="5"/>
      <c r="F429" s="5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8"/>
      <c r="AF429" s="8"/>
      <c r="AG429" s="8"/>
      <c r="AH429" s="8"/>
    </row>
    <row r="430" spans="1:34" ht="15.75" customHeight="1" x14ac:dyDescent="0.3">
      <c r="A430" s="5"/>
      <c r="B430" s="5"/>
      <c r="C430" s="5"/>
      <c r="D430" s="5"/>
      <c r="E430" s="5"/>
      <c r="F430" s="5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8"/>
      <c r="AF430" s="8"/>
      <c r="AG430" s="8"/>
      <c r="AH430" s="8"/>
    </row>
    <row r="431" spans="1:34" ht="15.75" customHeight="1" x14ac:dyDescent="0.3">
      <c r="A431" s="5"/>
      <c r="B431" s="5"/>
      <c r="C431" s="5"/>
      <c r="D431" s="5"/>
      <c r="E431" s="5"/>
      <c r="F431" s="5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8"/>
      <c r="AF431" s="8"/>
      <c r="AG431" s="8"/>
      <c r="AH431" s="8"/>
    </row>
    <row r="432" spans="1:34" ht="15.75" customHeight="1" x14ac:dyDescent="0.3">
      <c r="A432" s="5"/>
      <c r="B432" s="5"/>
      <c r="C432" s="5"/>
      <c r="D432" s="5"/>
      <c r="E432" s="5"/>
      <c r="F432" s="5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8"/>
      <c r="AF432" s="8"/>
      <c r="AG432" s="8"/>
      <c r="AH432" s="8"/>
    </row>
    <row r="433" spans="1:34" ht="15.75" customHeight="1" x14ac:dyDescent="0.3">
      <c r="A433" s="5"/>
      <c r="B433" s="5"/>
      <c r="C433" s="5"/>
      <c r="D433" s="5"/>
      <c r="E433" s="5"/>
      <c r="F433" s="5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8"/>
      <c r="AF433" s="8"/>
      <c r="AG433" s="8"/>
      <c r="AH433" s="8"/>
    </row>
    <row r="434" spans="1:34" ht="15.75" customHeight="1" x14ac:dyDescent="0.3">
      <c r="A434" s="5"/>
      <c r="B434" s="5"/>
      <c r="C434" s="5"/>
      <c r="D434" s="5"/>
      <c r="E434" s="5"/>
      <c r="F434" s="5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8"/>
      <c r="AF434" s="8"/>
      <c r="AG434" s="8"/>
      <c r="AH434" s="8"/>
    </row>
    <row r="435" spans="1:34" ht="15.75" customHeight="1" x14ac:dyDescent="0.3">
      <c r="A435" s="5"/>
      <c r="B435" s="5"/>
      <c r="C435" s="5"/>
      <c r="D435" s="5"/>
      <c r="E435" s="5"/>
      <c r="F435" s="5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8"/>
      <c r="AF435" s="8"/>
      <c r="AG435" s="8"/>
      <c r="AH435" s="8"/>
    </row>
    <row r="436" spans="1:34" ht="15.75" customHeight="1" x14ac:dyDescent="0.3">
      <c r="A436" s="5"/>
      <c r="B436" s="5"/>
      <c r="C436" s="5"/>
      <c r="D436" s="5"/>
      <c r="E436" s="5"/>
      <c r="F436" s="5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8"/>
      <c r="AF436" s="8"/>
      <c r="AG436" s="8"/>
      <c r="AH436" s="8"/>
    </row>
    <row r="437" spans="1:34" ht="15.75" customHeight="1" x14ac:dyDescent="0.3">
      <c r="A437" s="5"/>
      <c r="B437" s="5"/>
      <c r="C437" s="5"/>
      <c r="D437" s="5"/>
      <c r="E437" s="5"/>
      <c r="F437" s="5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8"/>
      <c r="AF437" s="8"/>
      <c r="AG437" s="8"/>
      <c r="AH437" s="8"/>
    </row>
    <row r="438" spans="1:34" ht="15.75" customHeight="1" x14ac:dyDescent="0.3">
      <c r="A438" s="5"/>
      <c r="B438" s="5"/>
      <c r="C438" s="5"/>
      <c r="D438" s="5"/>
      <c r="E438" s="5"/>
      <c r="F438" s="5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8"/>
      <c r="AF438" s="8"/>
      <c r="AG438" s="8"/>
      <c r="AH438" s="8"/>
    </row>
    <row r="439" spans="1:34" ht="15.75" customHeight="1" x14ac:dyDescent="0.3">
      <c r="A439" s="5"/>
      <c r="B439" s="5"/>
      <c r="C439" s="5"/>
      <c r="D439" s="5"/>
      <c r="E439" s="5"/>
      <c r="F439" s="5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8"/>
      <c r="AF439" s="8"/>
      <c r="AG439" s="8"/>
      <c r="AH439" s="8"/>
    </row>
    <row r="440" spans="1:34" ht="15.75" customHeight="1" x14ac:dyDescent="0.3">
      <c r="A440" s="5"/>
      <c r="B440" s="5"/>
      <c r="C440" s="5"/>
      <c r="D440" s="5"/>
      <c r="E440" s="5"/>
      <c r="F440" s="5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8"/>
      <c r="AF440" s="8"/>
      <c r="AG440" s="8"/>
      <c r="AH440" s="8"/>
    </row>
    <row r="441" spans="1:34" ht="15.75" customHeight="1" x14ac:dyDescent="0.3">
      <c r="A441" s="5"/>
      <c r="B441" s="5"/>
      <c r="C441" s="5"/>
      <c r="D441" s="5"/>
      <c r="E441" s="5"/>
      <c r="F441" s="5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8"/>
      <c r="AF441" s="8"/>
      <c r="AG441" s="8"/>
      <c r="AH441" s="8"/>
    </row>
    <row r="442" spans="1:34" ht="15.75" customHeight="1" x14ac:dyDescent="0.3">
      <c r="A442" s="5"/>
      <c r="B442" s="5"/>
      <c r="C442" s="5"/>
      <c r="D442" s="5"/>
      <c r="E442" s="5"/>
      <c r="F442" s="5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8"/>
      <c r="AF442" s="8"/>
      <c r="AG442" s="8"/>
      <c r="AH442" s="8"/>
    </row>
    <row r="443" spans="1:34" ht="15.75" customHeight="1" x14ac:dyDescent="0.3">
      <c r="A443" s="5"/>
      <c r="B443" s="5"/>
      <c r="C443" s="5"/>
      <c r="D443" s="5"/>
      <c r="E443" s="5"/>
      <c r="F443" s="5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8"/>
      <c r="AF443" s="8"/>
      <c r="AG443" s="8"/>
      <c r="AH443" s="8"/>
    </row>
    <row r="444" spans="1:34" ht="15.75" customHeight="1" x14ac:dyDescent="0.3">
      <c r="A444" s="5"/>
      <c r="B444" s="5"/>
      <c r="C444" s="5"/>
      <c r="D444" s="5"/>
      <c r="E444" s="5"/>
      <c r="F444" s="5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8"/>
      <c r="AF444" s="8"/>
      <c r="AG444" s="8"/>
      <c r="AH444" s="8"/>
    </row>
    <row r="445" spans="1:34" ht="15.75" customHeight="1" x14ac:dyDescent="0.3">
      <c r="A445" s="5"/>
      <c r="B445" s="5"/>
      <c r="C445" s="5"/>
      <c r="D445" s="5"/>
      <c r="E445" s="5"/>
      <c r="F445" s="5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8"/>
      <c r="AF445" s="8"/>
      <c r="AG445" s="8"/>
      <c r="AH445" s="8"/>
    </row>
    <row r="446" spans="1:34" ht="15.75" customHeight="1" x14ac:dyDescent="0.3">
      <c r="A446" s="5"/>
      <c r="B446" s="5"/>
      <c r="C446" s="5"/>
      <c r="D446" s="5"/>
      <c r="E446" s="5"/>
      <c r="F446" s="5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8"/>
      <c r="AF446" s="8"/>
      <c r="AG446" s="8"/>
      <c r="AH446" s="8"/>
    </row>
    <row r="447" spans="1:34" ht="15.75" customHeight="1" x14ac:dyDescent="0.3">
      <c r="A447" s="5"/>
      <c r="B447" s="5"/>
      <c r="C447" s="5"/>
      <c r="D447" s="5"/>
      <c r="E447" s="5"/>
      <c r="F447" s="5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8"/>
      <c r="AF447" s="8"/>
      <c r="AG447" s="8"/>
      <c r="AH447" s="8"/>
    </row>
    <row r="448" spans="1:34" ht="15.75" customHeight="1" x14ac:dyDescent="0.3">
      <c r="A448" s="5"/>
      <c r="B448" s="5"/>
      <c r="C448" s="5"/>
      <c r="D448" s="5"/>
      <c r="E448" s="5"/>
      <c r="F448" s="5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8"/>
      <c r="AF448" s="8"/>
      <c r="AG448" s="8"/>
      <c r="AH448" s="8"/>
    </row>
    <row r="449" spans="1:34" ht="15.75" customHeight="1" x14ac:dyDescent="0.3">
      <c r="A449" s="5"/>
      <c r="B449" s="5"/>
      <c r="C449" s="5"/>
      <c r="D449" s="5"/>
      <c r="E449" s="5"/>
      <c r="F449" s="5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8"/>
      <c r="AF449" s="8"/>
      <c r="AG449" s="8"/>
      <c r="AH449" s="8"/>
    </row>
    <row r="450" spans="1:34" ht="15.75" customHeight="1" x14ac:dyDescent="0.3">
      <c r="A450" s="5"/>
      <c r="B450" s="5"/>
      <c r="C450" s="5"/>
      <c r="D450" s="5"/>
      <c r="E450" s="5"/>
      <c r="F450" s="5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8"/>
      <c r="AF450" s="8"/>
      <c r="AG450" s="8"/>
      <c r="AH450" s="8"/>
    </row>
    <row r="451" spans="1:34" ht="15.75" customHeight="1" x14ac:dyDescent="0.3">
      <c r="A451" s="5"/>
      <c r="B451" s="5"/>
      <c r="C451" s="5"/>
      <c r="D451" s="5"/>
      <c r="E451" s="5"/>
      <c r="F451" s="5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8"/>
      <c r="AF451" s="8"/>
      <c r="AG451" s="8"/>
      <c r="AH451" s="8"/>
    </row>
    <row r="452" spans="1:34" ht="15.75" customHeight="1" x14ac:dyDescent="0.3">
      <c r="A452" s="5"/>
      <c r="B452" s="5"/>
      <c r="C452" s="5"/>
      <c r="D452" s="5"/>
      <c r="E452" s="5"/>
      <c r="F452" s="5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8"/>
      <c r="AF452" s="8"/>
      <c r="AG452" s="8"/>
      <c r="AH452" s="8"/>
    </row>
    <row r="453" spans="1:34" ht="15.75" customHeight="1" x14ac:dyDescent="0.3">
      <c r="A453" s="5"/>
      <c r="B453" s="5"/>
      <c r="C453" s="5"/>
      <c r="D453" s="5"/>
      <c r="E453" s="5"/>
      <c r="F453" s="5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8"/>
      <c r="AF453" s="8"/>
      <c r="AG453" s="8"/>
      <c r="AH453" s="8"/>
    </row>
    <row r="454" spans="1:34" ht="15.75" customHeight="1" x14ac:dyDescent="0.3">
      <c r="A454" s="5"/>
      <c r="B454" s="5"/>
      <c r="C454" s="5"/>
      <c r="D454" s="5"/>
      <c r="E454" s="5"/>
      <c r="F454" s="5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8"/>
      <c r="AF454" s="8"/>
      <c r="AG454" s="8"/>
      <c r="AH454" s="8"/>
    </row>
    <row r="455" spans="1:34" ht="15.75" customHeight="1" x14ac:dyDescent="0.3">
      <c r="A455" s="5"/>
      <c r="B455" s="5"/>
      <c r="C455" s="5"/>
      <c r="D455" s="5"/>
      <c r="E455" s="5"/>
      <c r="F455" s="5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8"/>
      <c r="AF455" s="8"/>
      <c r="AG455" s="8"/>
      <c r="AH455" s="8"/>
    </row>
    <row r="456" spans="1:34" ht="15.75" customHeight="1" x14ac:dyDescent="0.3">
      <c r="A456" s="5"/>
      <c r="B456" s="5"/>
      <c r="C456" s="5"/>
      <c r="D456" s="5"/>
      <c r="E456" s="5"/>
      <c r="F456" s="5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8"/>
      <c r="AF456" s="8"/>
      <c r="AG456" s="8"/>
      <c r="AH456" s="8"/>
    </row>
    <row r="457" spans="1:34" ht="15.75" customHeight="1" x14ac:dyDescent="0.3">
      <c r="A457" s="5"/>
      <c r="B457" s="5"/>
      <c r="C457" s="5"/>
      <c r="D457" s="5"/>
      <c r="E457" s="5"/>
      <c r="F457" s="5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8"/>
      <c r="AF457" s="8"/>
      <c r="AG457" s="8"/>
      <c r="AH457" s="8"/>
    </row>
    <row r="458" spans="1:34" ht="15.75" customHeight="1" x14ac:dyDescent="0.3">
      <c r="A458" s="5"/>
      <c r="B458" s="5"/>
      <c r="C458" s="5"/>
      <c r="D458" s="5"/>
      <c r="E458" s="5"/>
      <c r="F458" s="5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8"/>
      <c r="AF458" s="8"/>
      <c r="AG458" s="8"/>
      <c r="AH458" s="8"/>
    </row>
    <row r="459" spans="1:34" ht="15.75" customHeight="1" x14ac:dyDescent="0.3">
      <c r="A459" s="5"/>
      <c r="B459" s="5"/>
      <c r="C459" s="5"/>
      <c r="D459" s="5"/>
      <c r="E459" s="5"/>
      <c r="F459" s="5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8"/>
      <c r="AF459" s="8"/>
      <c r="AG459" s="8"/>
      <c r="AH459" s="8"/>
    </row>
    <row r="460" spans="1:34" ht="15.75" customHeight="1" x14ac:dyDescent="0.3">
      <c r="A460" s="5"/>
      <c r="B460" s="5"/>
      <c r="C460" s="5"/>
      <c r="D460" s="5"/>
      <c r="E460" s="5"/>
      <c r="F460" s="5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8"/>
      <c r="AF460" s="8"/>
      <c r="AG460" s="8"/>
      <c r="AH460" s="8"/>
    </row>
    <row r="461" spans="1:34" ht="15.75" customHeight="1" x14ac:dyDescent="0.3">
      <c r="A461" s="5"/>
      <c r="B461" s="5"/>
      <c r="C461" s="5"/>
      <c r="D461" s="5"/>
      <c r="E461" s="5"/>
      <c r="F461" s="5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8"/>
      <c r="AF461" s="8"/>
      <c r="AG461" s="8"/>
      <c r="AH461" s="8"/>
    </row>
    <row r="462" spans="1:34" ht="15.75" customHeight="1" x14ac:dyDescent="0.3">
      <c r="A462" s="5"/>
      <c r="B462" s="5"/>
      <c r="C462" s="5"/>
      <c r="D462" s="5"/>
      <c r="E462" s="5"/>
      <c r="F462" s="5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8"/>
      <c r="AF462" s="8"/>
      <c r="AG462" s="8"/>
      <c r="AH462" s="8"/>
    </row>
    <row r="463" spans="1:34" ht="15.75" customHeight="1" x14ac:dyDescent="0.3">
      <c r="A463" s="5"/>
      <c r="B463" s="5"/>
      <c r="C463" s="5"/>
      <c r="D463" s="5"/>
      <c r="E463" s="5"/>
      <c r="F463" s="5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8"/>
      <c r="AF463" s="8"/>
      <c r="AG463" s="8"/>
      <c r="AH463" s="8"/>
    </row>
    <row r="464" spans="1:34" ht="15.75" customHeight="1" x14ac:dyDescent="0.3">
      <c r="A464" s="5"/>
      <c r="B464" s="5"/>
      <c r="C464" s="5"/>
      <c r="D464" s="5"/>
      <c r="E464" s="5"/>
      <c r="F464" s="5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8"/>
      <c r="AF464" s="8"/>
      <c r="AG464" s="8"/>
      <c r="AH464" s="8"/>
    </row>
    <row r="465" spans="1:34" ht="15.75" customHeight="1" x14ac:dyDescent="0.3">
      <c r="A465" s="5"/>
      <c r="B465" s="5"/>
      <c r="C465" s="5"/>
      <c r="D465" s="5"/>
      <c r="E465" s="5"/>
      <c r="F465" s="5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8"/>
      <c r="AF465" s="8"/>
      <c r="AG465" s="8"/>
      <c r="AH465" s="8"/>
    </row>
    <row r="466" spans="1:34" ht="15.75" customHeight="1" x14ac:dyDescent="0.3">
      <c r="A466" s="5"/>
      <c r="B466" s="5"/>
      <c r="C466" s="5"/>
      <c r="D466" s="5"/>
      <c r="E466" s="5"/>
      <c r="F466" s="5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8"/>
      <c r="AF466" s="8"/>
      <c r="AG466" s="8"/>
      <c r="AH466" s="8"/>
    </row>
    <row r="467" spans="1:34" ht="15.75" customHeight="1" x14ac:dyDescent="0.3">
      <c r="A467" s="5"/>
      <c r="B467" s="5"/>
      <c r="C467" s="5"/>
      <c r="D467" s="5"/>
      <c r="E467" s="5"/>
      <c r="F467" s="5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8"/>
      <c r="AF467" s="8"/>
      <c r="AG467" s="8"/>
      <c r="AH467" s="8"/>
    </row>
    <row r="468" spans="1:34" ht="15.75" customHeight="1" x14ac:dyDescent="0.3">
      <c r="A468" s="5"/>
      <c r="B468" s="5"/>
      <c r="C468" s="5"/>
      <c r="D468" s="5"/>
      <c r="E468" s="5"/>
      <c r="F468" s="5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8"/>
      <c r="AF468" s="8"/>
      <c r="AG468" s="8"/>
      <c r="AH468" s="8"/>
    </row>
    <row r="469" spans="1:34" ht="15.75" customHeight="1" x14ac:dyDescent="0.3">
      <c r="A469" s="5"/>
      <c r="B469" s="5"/>
      <c r="C469" s="5"/>
      <c r="D469" s="5"/>
      <c r="E469" s="5"/>
      <c r="F469" s="5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8"/>
      <c r="AF469" s="8"/>
      <c r="AG469" s="8"/>
      <c r="AH469" s="8"/>
    </row>
    <row r="470" spans="1:34" ht="15.75" customHeight="1" x14ac:dyDescent="0.3">
      <c r="A470" s="5"/>
      <c r="B470" s="5"/>
      <c r="C470" s="5"/>
      <c r="D470" s="5"/>
      <c r="E470" s="5"/>
      <c r="F470" s="5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8"/>
      <c r="AF470" s="8"/>
      <c r="AG470" s="8"/>
      <c r="AH470" s="8"/>
    </row>
    <row r="471" spans="1:34" ht="15.75" customHeight="1" x14ac:dyDescent="0.3">
      <c r="A471" s="5"/>
      <c r="B471" s="5"/>
      <c r="C471" s="5"/>
      <c r="D471" s="5"/>
      <c r="E471" s="5"/>
      <c r="F471" s="5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8"/>
      <c r="AF471" s="8"/>
      <c r="AG471" s="8"/>
      <c r="AH471" s="8"/>
    </row>
    <row r="472" spans="1:34" ht="15.75" customHeight="1" x14ac:dyDescent="0.3">
      <c r="A472" s="5"/>
      <c r="B472" s="5"/>
      <c r="C472" s="5"/>
      <c r="D472" s="5"/>
      <c r="E472" s="5"/>
      <c r="F472" s="5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8"/>
      <c r="AF472" s="8"/>
      <c r="AG472" s="8"/>
      <c r="AH472" s="8"/>
    </row>
    <row r="473" spans="1:34" ht="15.75" customHeight="1" x14ac:dyDescent="0.3">
      <c r="A473" s="5"/>
      <c r="B473" s="5"/>
      <c r="C473" s="5"/>
      <c r="D473" s="5"/>
      <c r="E473" s="5"/>
      <c r="F473" s="5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8"/>
      <c r="AF473" s="8"/>
      <c r="AG473" s="8"/>
      <c r="AH473" s="8"/>
    </row>
    <row r="474" spans="1:34" ht="15.75" customHeight="1" x14ac:dyDescent="0.3">
      <c r="A474" s="5"/>
      <c r="B474" s="5"/>
      <c r="C474" s="5"/>
      <c r="D474" s="5"/>
      <c r="E474" s="5"/>
      <c r="F474" s="5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8"/>
      <c r="AF474" s="8"/>
      <c r="AG474" s="8"/>
      <c r="AH474" s="8"/>
    </row>
    <row r="475" spans="1:34" ht="15.75" customHeight="1" x14ac:dyDescent="0.3">
      <c r="A475" s="5"/>
      <c r="B475" s="5"/>
      <c r="C475" s="5"/>
      <c r="D475" s="5"/>
      <c r="E475" s="5"/>
      <c r="F475" s="5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8"/>
      <c r="AF475" s="8"/>
      <c r="AG475" s="8"/>
      <c r="AH475" s="8"/>
    </row>
    <row r="476" spans="1:34" ht="15.75" customHeight="1" x14ac:dyDescent="0.3">
      <c r="A476" s="5"/>
      <c r="B476" s="5"/>
      <c r="C476" s="5"/>
      <c r="D476" s="5"/>
      <c r="E476" s="5"/>
      <c r="F476" s="5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8"/>
      <c r="AF476" s="8"/>
      <c r="AG476" s="8"/>
      <c r="AH476" s="8"/>
    </row>
    <row r="477" spans="1:34" ht="15.75" customHeight="1" x14ac:dyDescent="0.3">
      <c r="A477" s="5"/>
      <c r="B477" s="5"/>
      <c r="C477" s="5"/>
      <c r="D477" s="5"/>
      <c r="E477" s="5"/>
      <c r="F477" s="5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8"/>
      <c r="AF477" s="8"/>
      <c r="AG477" s="8"/>
      <c r="AH477" s="8"/>
    </row>
    <row r="478" spans="1:34" ht="15.75" customHeight="1" x14ac:dyDescent="0.3">
      <c r="A478" s="5"/>
      <c r="B478" s="5"/>
      <c r="C478" s="5"/>
      <c r="D478" s="5"/>
      <c r="E478" s="5"/>
      <c r="F478" s="5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8"/>
      <c r="AF478" s="8"/>
      <c r="AG478" s="8"/>
      <c r="AH478" s="8"/>
    </row>
    <row r="479" spans="1:34" ht="15.75" customHeight="1" x14ac:dyDescent="0.3">
      <c r="A479" s="5"/>
      <c r="B479" s="5"/>
      <c r="C479" s="5"/>
      <c r="D479" s="5"/>
      <c r="E479" s="5"/>
      <c r="F479" s="5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8"/>
      <c r="AF479" s="8"/>
      <c r="AG479" s="8"/>
      <c r="AH479" s="8"/>
    </row>
    <row r="480" spans="1:34" ht="15.75" customHeight="1" x14ac:dyDescent="0.3">
      <c r="A480" s="5"/>
      <c r="B480" s="5"/>
      <c r="C480" s="5"/>
      <c r="D480" s="5"/>
      <c r="E480" s="5"/>
      <c r="F480" s="5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8"/>
      <c r="AF480" s="8"/>
      <c r="AG480" s="8"/>
      <c r="AH480" s="8"/>
    </row>
    <row r="481" spans="1:34" ht="15.75" customHeight="1" x14ac:dyDescent="0.3">
      <c r="A481" s="5"/>
      <c r="B481" s="5"/>
      <c r="C481" s="5"/>
      <c r="D481" s="5"/>
      <c r="E481" s="5"/>
      <c r="F481" s="5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8"/>
      <c r="AF481" s="8"/>
      <c r="AG481" s="8"/>
      <c r="AH481" s="8"/>
    </row>
    <row r="482" spans="1:34" ht="15.75" customHeight="1" x14ac:dyDescent="0.3">
      <c r="A482" s="5"/>
      <c r="B482" s="5"/>
      <c r="C482" s="5"/>
      <c r="D482" s="5"/>
      <c r="E482" s="5"/>
      <c r="F482" s="5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8"/>
      <c r="AF482" s="8"/>
      <c r="AG482" s="8"/>
      <c r="AH482" s="8"/>
    </row>
    <row r="483" spans="1:34" ht="15.75" customHeight="1" x14ac:dyDescent="0.3">
      <c r="A483" s="5"/>
      <c r="B483" s="5"/>
      <c r="C483" s="5"/>
      <c r="D483" s="5"/>
      <c r="E483" s="5"/>
      <c r="F483" s="5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8"/>
      <c r="AF483" s="8"/>
      <c r="AG483" s="8"/>
      <c r="AH483" s="8"/>
    </row>
    <row r="484" spans="1:34" ht="15.75" customHeight="1" x14ac:dyDescent="0.3">
      <c r="A484" s="5"/>
      <c r="B484" s="5"/>
      <c r="C484" s="5"/>
      <c r="D484" s="5"/>
      <c r="E484" s="5"/>
      <c r="F484" s="5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8"/>
      <c r="AF484" s="8"/>
      <c r="AG484" s="8"/>
      <c r="AH484" s="8"/>
    </row>
    <row r="485" spans="1:34" ht="15.75" customHeight="1" x14ac:dyDescent="0.3">
      <c r="A485" s="5"/>
      <c r="B485" s="5"/>
      <c r="C485" s="5"/>
      <c r="D485" s="5"/>
      <c r="E485" s="5"/>
      <c r="F485" s="5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8"/>
      <c r="AF485" s="8"/>
      <c r="AG485" s="8"/>
      <c r="AH485" s="8"/>
    </row>
    <row r="486" spans="1:34" ht="15.75" customHeight="1" x14ac:dyDescent="0.3">
      <c r="A486" s="5"/>
      <c r="B486" s="5"/>
      <c r="C486" s="5"/>
      <c r="D486" s="5"/>
      <c r="E486" s="5"/>
      <c r="F486" s="5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8"/>
      <c r="AF486" s="8"/>
      <c r="AG486" s="8"/>
      <c r="AH486" s="8"/>
    </row>
    <row r="487" spans="1:34" ht="15.75" customHeight="1" x14ac:dyDescent="0.3">
      <c r="A487" s="5"/>
      <c r="B487" s="5"/>
      <c r="C487" s="5"/>
      <c r="D487" s="5"/>
      <c r="E487" s="5"/>
      <c r="F487" s="5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8"/>
      <c r="AF487" s="8"/>
      <c r="AG487" s="8"/>
      <c r="AH487" s="8"/>
    </row>
    <row r="488" spans="1:34" ht="15.75" customHeight="1" x14ac:dyDescent="0.3">
      <c r="A488" s="5"/>
      <c r="B488" s="5"/>
      <c r="C488" s="5"/>
      <c r="D488" s="5"/>
      <c r="E488" s="5"/>
      <c r="F488" s="5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8"/>
      <c r="AF488" s="8"/>
      <c r="AG488" s="8"/>
      <c r="AH488" s="8"/>
    </row>
    <row r="489" spans="1:34" ht="15.75" customHeight="1" x14ac:dyDescent="0.3">
      <c r="A489" s="5"/>
      <c r="B489" s="5"/>
      <c r="C489" s="5"/>
      <c r="D489" s="5"/>
      <c r="E489" s="5"/>
      <c r="F489" s="5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8"/>
      <c r="AF489" s="8"/>
      <c r="AG489" s="8"/>
      <c r="AH489" s="8"/>
    </row>
    <row r="490" spans="1:34" ht="15.75" customHeight="1" x14ac:dyDescent="0.3">
      <c r="A490" s="5"/>
      <c r="B490" s="5"/>
      <c r="C490" s="5"/>
      <c r="D490" s="5"/>
      <c r="E490" s="5"/>
      <c r="F490" s="5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8"/>
      <c r="AF490" s="8"/>
      <c r="AG490" s="8"/>
      <c r="AH490" s="8"/>
    </row>
    <row r="491" spans="1:34" ht="15.75" customHeight="1" x14ac:dyDescent="0.3">
      <c r="A491" s="5"/>
      <c r="B491" s="5"/>
      <c r="C491" s="5"/>
      <c r="D491" s="5"/>
      <c r="E491" s="5"/>
      <c r="F491" s="5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8"/>
      <c r="AF491" s="8"/>
      <c r="AG491" s="8"/>
      <c r="AH491" s="8"/>
    </row>
    <row r="492" spans="1:34" ht="15.75" customHeight="1" x14ac:dyDescent="0.3">
      <c r="A492" s="5"/>
      <c r="B492" s="5"/>
      <c r="C492" s="5"/>
      <c r="D492" s="5"/>
      <c r="E492" s="5"/>
      <c r="F492" s="5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8"/>
      <c r="AF492" s="8"/>
      <c r="AG492" s="8"/>
      <c r="AH492" s="8"/>
    </row>
    <row r="493" spans="1:34" ht="15.75" customHeight="1" x14ac:dyDescent="0.3">
      <c r="A493" s="5"/>
      <c r="B493" s="5"/>
      <c r="C493" s="5"/>
      <c r="D493" s="5"/>
      <c r="E493" s="5"/>
      <c r="F493" s="5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8"/>
      <c r="AF493" s="8"/>
      <c r="AG493" s="8"/>
      <c r="AH493" s="8"/>
    </row>
    <row r="494" spans="1:34" ht="15.75" customHeight="1" x14ac:dyDescent="0.3">
      <c r="A494" s="5"/>
      <c r="B494" s="5"/>
      <c r="C494" s="5"/>
      <c r="D494" s="5"/>
      <c r="E494" s="5"/>
      <c r="F494" s="5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8"/>
      <c r="AF494" s="8"/>
      <c r="AG494" s="8"/>
      <c r="AH494" s="8"/>
    </row>
    <row r="495" spans="1:34" ht="15.75" customHeight="1" x14ac:dyDescent="0.3">
      <c r="A495" s="5"/>
      <c r="B495" s="5"/>
      <c r="C495" s="5"/>
      <c r="D495" s="5"/>
      <c r="E495" s="5"/>
      <c r="F495" s="5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8"/>
      <c r="AF495" s="8"/>
      <c r="AG495" s="8"/>
      <c r="AH495" s="8"/>
    </row>
    <row r="496" spans="1:34" ht="15.75" customHeight="1" x14ac:dyDescent="0.3">
      <c r="A496" s="5"/>
      <c r="B496" s="5"/>
      <c r="C496" s="5"/>
      <c r="D496" s="5"/>
      <c r="E496" s="5"/>
      <c r="F496" s="5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8"/>
      <c r="AF496" s="8"/>
      <c r="AG496" s="8"/>
      <c r="AH496" s="8"/>
    </row>
    <row r="497" spans="1:34" ht="15.75" customHeight="1" x14ac:dyDescent="0.3">
      <c r="A497" s="5"/>
      <c r="B497" s="5"/>
      <c r="C497" s="5"/>
      <c r="D497" s="5"/>
      <c r="E497" s="5"/>
      <c r="F497" s="5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8"/>
      <c r="AF497" s="8"/>
      <c r="AG497" s="8"/>
      <c r="AH497" s="8"/>
    </row>
    <row r="498" spans="1:34" ht="15.75" customHeight="1" x14ac:dyDescent="0.3">
      <c r="A498" s="5"/>
      <c r="B498" s="5"/>
      <c r="C498" s="5"/>
      <c r="D498" s="5"/>
      <c r="E498" s="5"/>
      <c r="F498" s="5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8"/>
      <c r="AF498" s="8"/>
      <c r="AG498" s="8"/>
      <c r="AH498" s="8"/>
    </row>
    <row r="499" spans="1:34" ht="15.75" customHeight="1" x14ac:dyDescent="0.3">
      <c r="A499" s="5"/>
      <c r="B499" s="5"/>
      <c r="C499" s="5"/>
      <c r="D499" s="5"/>
      <c r="E499" s="5"/>
      <c r="F499" s="5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8"/>
      <c r="AF499" s="8"/>
      <c r="AG499" s="8"/>
      <c r="AH499" s="8"/>
    </row>
    <row r="500" spans="1:34" ht="15.75" customHeight="1" x14ac:dyDescent="0.3">
      <c r="A500" s="5"/>
      <c r="B500" s="5"/>
      <c r="C500" s="5"/>
      <c r="D500" s="5"/>
      <c r="E500" s="5"/>
      <c r="F500" s="5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8"/>
      <c r="AF500" s="8"/>
      <c r="AG500" s="8"/>
      <c r="AH500" s="8"/>
    </row>
    <row r="501" spans="1:34" ht="15.75" customHeight="1" x14ac:dyDescent="0.3">
      <c r="A501" s="5"/>
      <c r="B501" s="5"/>
      <c r="C501" s="5"/>
      <c r="D501" s="5"/>
      <c r="E501" s="5"/>
      <c r="F501" s="5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8"/>
      <c r="AF501" s="8"/>
      <c r="AG501" s="8"/>
      <c r="AH501" s="8"/>
    </row>
    <row r="502" spans="1:34" ht="15.75" customHeight="1" x14ac:dyDescent="0.3">
      <c r="A502" s="5"/>
      <c r="B502" s="5"/>
      <c r="C502" s="5"/>
      <c r="D502" s="5"/>
      <c r="E502" s="5"/>
      <c r="F502" s="5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8"/>
      <c r="AF502" s="8"/>
      <c r="AG502" s="8"/>
      <c r="AH502" s="8"/>
    </row>
    <row r="503" spans="1:34" ht="15.75" customHeight="1" x14ac:dyDescent="0.3">
      <c r="A503" s="5"/>
      <c r="B503" s="5"/>
      <c r="C503" s="5"/>
      <c r="D503" s="5"/>
      <c r="E503" s="5"/>
      <c r="F503" s="5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8"/>
      <c r="AF503" s="8"/>
      <c r="AG503" s="8"/>
      <c r="AH503" s="8"/>
    </row>
    <row r="504" spans="1:34" ht="15.75" customHeight="1" x14ac:dyDescent="0.3">
      <c r="A504" s="5"/>
      <c r="B504" s="5"/>
      <c r="C504" s="5"/>
      <c r="D504" s="5"/>
      <c r="E504" s="5"/>
      <c r="F504" s="5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8"/>
      <c r="AF504" s="8"/>
      <c r="AG504" s="8"/>
      <c r="AH504" s="8"/>
    </row>
    <row r="505" spans="1:34" ht="15.75" customHeight="1" x14ac:dyDescent="0.3">
      <c r="A505" s="5"/>
      <c r="B505" s="5"/>
      <c r="C505" s="5"/>
      <c r="D505" s="5"/>
      <c r="E505" s="5"/>
      <c r="F505" s="5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8"/>
      <c r="AF505" s="8"/>
      <c r="AG505" s="8"/>
      <c r="AH505" s="8"/>
    </row>
    <row r="506" spans="1:34" ht="15.75" customHeight="1" x14ac:dyDescent="0.3">
      <c r="A506" s="5"/>
      <c r="B506" s="5"/>
      <c r="C506" s="5"/>
      <c r="D506" s="5"/>
      <c r="E506" s="5"/>
      <c r="F506" s="5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8"/>
      <c r="AF506" s="8"/>
      <c r="AG506" s="8"/>
      <c r="AH506" s="8"/>
    </row>
    <row r="507" spans="1:34" ht="15.75" customHeight="1" x14ac:dyDescent="0.3">
      <c r="A507" s="5"/>
      <c r="B507" s="5"/>
      <c r="C507" s="5"/>
      <c r="D507" s="5"/>
      <c r="E507" s="5"/>
      <c r="F507" s="5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8"/>
      <c r="AF507" s="8"/>
      <c r="AG507" s="8"/>
      <c r="AH507" s="8"/>
    </row>
    <row r="508" spans="1:34" ht="15.75" customHeight="1" x14ac:dyDescent="0.3">
      <c r="A508" s="5"/>
      <c r="B508" s="5"/>
      <c r="C508" s="5"/>
      <c r="D508" s="5"/>
      <c r="E508" s="5"/>
      <c r="F508" s="5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8"/>
      <c r="AF508" s="8"/>
      <c r="AG508" s="8"/>
      <c r="AH508" s="8"/>
    </row>
    <row r="509" spans="1:34" ht="15.75" customHeight="1" x14ac:dyDescent="0.3">
      <c r="A509" s="5"/>
      <c r="B509" s="5"/>
      <c r="C509" s="5"/>
      <c r="D509" s="5"/>
      <c r="E509" s="5"/>
      <c r="F509" s="5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8"/>
      <c r="AF509" s="8"/>
      <c r="AG509" s="8"/>
      <c r="AH509" s="8"/>
    </row>
    <row r="510" spans="1:34" ht="15.75" customHeight="1" x14ac:dyDescent="0.3">
      <c r="A510" s="5"/>
      <c r="B510" s="5"/>
      <c r="C510" s="5"/>
      <c r="D510" s="5"/>
      <c r="E510" s="5"/>
      <c r="F510" s="5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8"/>
      <c r="AF510" s="8"/>
      <c r="AG510" s="8"/>
      <c r="AH510" s="8"/>
    </row>
    <row r="511" spans="1:34" ht="15.75" customHeight="1" x14ac:dyDescent="0.3">
      <c r="A511" s="5"/>
      <c r="B511" s="5"/>
      <c r="C511" s="5"/>
      <c r="D511" s="5"/>
      <c r="E511" s="5"/>
      <c r="F511" s="5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8"/>
      <c r="AF511" s="8"/>
      <c r="AG511" s="8"/>
      <c r="AH511" s="8"/>
    </row>
    <row r="512" spans="1:34" ht="15.75" customHeight="1" x14ac:dyDescent="0.3">
      <c r="A512" s="5"/>
      <c r="B512" s="5"/>
      <c r="C512" s="5"/>
      <c r="D512" s="5"/>
      <c r="E512" s="5"/>
      <c r="F512" s="5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8"/>
      <c r="AF512" s="8"/>
      <c r="AG512" s="8"/>
      <c r="AH512" s="8"/>
    </row>
    <row r="513" spans="1:34" ht="15.75" customHeight="1" x14ac:dyDescent="0.3">
      <c r="A513" s="5"/>
      <c r="B513" s="5"/>
      <c r="C513" s="5"/>
      <c r="D513" s="5"/>
      <c r="E513" s="5"/>
      <c r="F513" s="5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8"/>
      <c r="AF513" s="8"/>
      <c r="AG513" s="8"/>
      <c r="AH513" s="8"/>
    </row>
    <row r="514" spans="1:34" ht="15.75" customHeight="1" x14ac:dyDescent="0.3">
      <c r="A514" s="5"/>
      <c r="B514" s="5"/>
      <c r="C514" s="5"/>
      <c r="D514" s="5"/>
      <c r="E514" s="5"/>
      <c r="F514" s="5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8"/>
      <c r="AF514" s="8"/>
      <c r="AG514" s="8"/>
      <c r="AH514" s="8"/>
    </row>
    <row r="515" spans="1:34" ht="15.75" customHeight="1" x14ac:dyDescent="0.3">
      <c r="A515" s="5"/>
      <c r="B515" s="5"/>
      <c r="C515" s="5"/>
      <c r="D515" s="5"/>
      <c r="E515" s="5"/>
      <c r="F515" s="5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8"/>
      <c r="AF515" s="8"/>
      <c r="AG515" s="8"/>
      <c r="AH515" s="8"/>
    </row>
    <row r="516" spans="1:34" ht="15.75" customHeight="1" x14ac:dyDescent="0.3">
      <c r="A516" s="5"/>
      <c r="B516" s="5"/>
      <c r="C516" s="5"/>
      <c r="D516" s="5"/>
      <c r="E516" s="5"/>
      <c r="F516" s="5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8"/>
      <c r="AF516" s="8"/>
      <c r="AG516" s="8"/>
      <c r="AH516" s="8"/>
    </row>
    <row r="517" spans="1:34" ht="15.75" customHeight="1" x14ac:dyDescent="0.3">
      <c r="A517" s="5"/>
      <c r="B517" s="5"/>
      <c r="C517" s="5"/>
      <c r="D517" s="5"/>
      <c r="E517" s="5"/>
      <c r="F517" s="5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8"/>
      <c r="AF517" s="8"/>
      <c r="AG517" s="8"/>
      <c r="AH517" s="8"/>
    </row>
    <row r="518" spans="1:34" ht="15.75" customHeight="1" x14ac:dyDescent="0.3">
      <c r="A518" s="5"/>
      <c r="B518" s="5"/>
      <c r="C518" s="5"/>
      <c r="D518" s="5"/>
      <c r="E518" s="5"/>
      <c r="F518" s="5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8"/>
      <c r="AF518" s="8"/>
      <c r="AG518" s="8"/>
      <c r="AH518" s="8"/>
    </row>
    <row r="519" spans="1:34" ht="15.75" customHeight="1" x14ac:dyDescent="0.3">
      <c r="A519" s="5"/>
      <c r="B519" s="5"/>
      <c r="C519" s="5"/>
      <c r="D519" s="5"/>
      <c r="E519" s="5"/>
      <c r="F519" s="5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8"/>
      <c r="AF519" s="8"/>
      <c r="AG519" s="8"/>
      <c r="AH519" s="8"/>
    </row>
    <row r="520" spans="1:34" ht="15.75" customHeight="1" x14ac:dyDescent="0.3">
      <c r="A520" s="5"/>
      <c r="B520" s="5"/>
      <c r="C520" s="5"/>
      <c r="D520" s="5"/>
      <c r="E520" s="5"/>
      <c r="F520" s="5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8"/>
      <c r="AF520" s="8"/>
      <c r="AG520" s="8"/>
      <c r="AH520" s="8"/>
    </row>
    <row r="521" spans="1:34" ht="15.75" customHeight="1" x14ac:dyDescent="0.3">
      <c r="A521" s="5"/>
      <c r="B521" s="5"/>
      <c r="C521" s="5"/>
      <c r="D521" s="5"/>
      <c r="E521" s="5"/>
      <c r="F521" s="5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8"/>
      <c r="AF521" s="8"/>
      <c r="AG521" s="8"/>
      <c r="AH521" s="8"/>
    </row>
    <row r="522" spans="1:34" ht="15.75" customHeight="1" x14ac:dyDescent="0.3">
      <c r="A522" s="5"/>
      <c r="B522" s="5"/>
      <c r="C522" s="5"/>
      <c r="D522" s="5"/>
      <c r="E522" s="5"/>
      <c r="F522" s="5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8"/>
      <c r="AF522" s="8"/>
      <c r="AG522" s="8"/>
      <c r="AH522" s="8"/>
    </row>
    <row r="523" spans="1:34" ht="15.75" customHeight="1" x14ac:dyDescent="0.3">
      <c r="A523" s="5"/>
      <c r="B523" s="5"/>
      <c r="C523" s="5"/>
      <c r="D523" s="5"/>
      <c r="E523" s="5"/>
      <c r="F523" s="5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8"/>
      <c r="AF523" s="8"/>
      <c r="AG523" s="8"/>
      <c r="AH523" s="8"/>
    </row>
    <row r="524" spans="1:34" ht="15.75" customHeight="1" x14ac:dyDescent="0.3">
      <c r="A524" s="5"/>
      <c r="B524" s="5"/>
      <c r="C524" s="5"/>
      <c r="D524" s="5"/>
      <c r="E524" s="5"/>
      <c r="F524" s="5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8"/>
      <c r="AF524" s="8"/>
      <c r="AG524" s="8"/>
      <c r="AH524" s="8"/>
    </row>
    <row r="525" spans="1:34" ht="15.75" customHeight="1" x14ac:dyDescent="0.3">
      <c r="A525" s="5"/>
      <c r="B525" s="5"/>
      <c r="C525" s="5"/>
      <c r="D525" s="5"/>
      <c r="E525" s="5"/>
      <c r="F525" s="5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8"/>
      <c r="AF525" s="8"/>
      <c r="AG525" s="8"/>
      <c r="AH525" s="8"/>
    </row>
    <row r="526" spans="1:34" ht="15.75" customHeight="1" x14ac:dyDescent="0.3">
      <c r="A526" s="5"/>
      <c r="B526" s="5"/>
      <c r="C526" s="5"/>
      <c r="D526" s="5"/>
      <c r="E526" s="5"/>
      <c r="F526" s="5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8"/>
      <c r="AF526" s="8"/>
      <c r="AG526" s="8"/>
      <c r="AH526" s="8"/>
    </row>
    <row r="527" spans="1:34" ht="15.75" customHeight="1" x14ac:dyDescent="0.3">
      <c r="A527" s="5"/>
      <c r="B527" s="5"/>
      <c r="C527" s="5"/>
      <c r="D527" s="5"/>
      <c r="E527" s="5"/>
      <c r="F527" s="5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8"/>
      <c r="AF527" s="8"/>
      <c r="AG527" s="8"/>
      <c r="AH527" s="8"/>
    </row>
    <row r="528" spans="1:34" ht="15.75" customHeight="1" x14ac:dyDescent="0.3">
      <c r="A528" s="5"/>
      <c r="B528" s="5"/>
      <c r="C528" s="5"/>
      <c r="D528" s="5"/>
      <c r="E528" s="5"/>
      <c r="F528" s="5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8"/>
      <c r="AF528" s="8"/>
      <c r="AG528" s="8"/>
      <c r="AH528" s="8"/>
    </row>
    <row r="529" spans="1:34" ht="15.75" customHeight="1" x14ac:dyDescent="0.3">
      <c r="A529" s="5"/>
      <c r="B529" s="5"/>
      <c r="C529" s="5"/>
      <c r="D529" s="5"/>
      <c r="E529" s="5"/>
      <c r="F529" s="5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8"/>
      <c r="AF529" s="8"/>
      <c r="AG529" s="8"/>
      <c r="AH529" s="8"/>
    </row>
    <row r="530" spans="1:34" ht="15.75" customHeight="1" x14ac:dyDescent="0.3">
      <c r="A530" s="5"/>
      <c r="B530" s="5"/>
      <c r="C530" s="5"/>
      <c r="D530" s="5"/>
      <c r="E530" s="5"/>
      <c r="F530" s="5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8"/>
      <c r="AF530" s="8"/>
      <c r="AG530" s="8"/>
      <c r="AH530" s="8"/>
    </row>
    <row r="531" spans="1:34" ht="15.75" customHeight="1" x14ac:dyDescent="0.3">
      <c r="A531" s="5"/>
      <c r="B531" s="5"/>
      <c r="C531" s="5"/>
      <c r="D531" s="5"/>
      <c r="E531" s="5"/>
      <c r="F531" s="5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8"/>
      <c r="AF531" s="8"/>
      <c r="AG531" s="8"/>
      <c r="AH531" s="8"/>
    </row>
    <row r="532" spans="1:34" ht="15.75" customHeight="1" x14ac:dyDescent="0.3">
      <c r="A532" s="5"/>
      <c r="B532" s="5"/>
      <c r="C532" s="5"/>
      <c r="D532" s="5"/>
      <c r="E532" s="5"/>
      <c r="F532" s="5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8"/>
      <c r="AF532" s="8"/>
      <c r="AG532" s="8"/>
      <c r="AH532" s="8"/>
    </row>
    <row r="533" spans="1:34" ht="15.75" customHeight="1" x14ac:dyDescent="0.3">
      <c r="A533" s="5"/>
      <c r="B533" s="5"/>
      <c r="C533" s="5"/>
      <c r="D533" s="5"/>
      <c r="E533" s="5"/>
      <c r="F533" s="5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8"/>
      <c r="AF533" s="8"/>
      <c r="AG533" s="8"/>
      <c r="AH533" s="8"/>
    </row>
    <row r="534" spans="1:34" ht="15.75" customHeight="1" x14ac:dyDescent="0.3">
      <c r="A534" s="5"/>
      <c r="B534" s="5"/>
      <c r="C534" s="5"/>
      <c r="D534" s="5"/>
      <c r="E534" s="5"/>
      <c r="F534" s="5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8"/>
      <c r="AF534" s="8"/>
      <c r="AG534" s="8"/>
      <c r="AH534" s="8"/>
    </row>
    <row r="535" spans="1:34" ht="15.75" customHeight="1" x14ac:dyDescent="0.3">
      <c r="A535" s="5"/>
      <c r="B535" s="5"/>
      <c r="C535" s="5"/>
      <c r="D535" s="5"/>
      <c r="E535" s="5"/>
      <c r="F535" s="5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8"/>
      <c r="AF535" s="8"/>
      <c r="AG535" s="8"/>
      <c r="AH535" s="8"/>
    </row>
    <row r="536" spans="1:34" ht="15.75" customHeight="1" x14ac:dyDescent="0.3">
      <c r="A536" s="5"/>
      <c r="B536" s="5"/>
      <c r="C536" s="5"/>
      <c r="D536" s="5"/>
      <c r="E536" s="5"/>
      <c r="F536" s="5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8"/>
      <c r="AF536" s="8"/>
      <c r="AG536" s="8"/>
      <c r="AH536" s="8"/>
    </row>
    <row r="537" spans="1:34" ht="15.75" customHeight="1" x14ac:dyDescent="0.3">
      <c r="A537" s="5"/>
      <c r="B537" s="5"/>
      <c r="C537" s="5"/>
      <c r="D537" s="5"/>
      <c r="E537" s="5"/>
      <c r="F537" s="5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8"/>
      <c r="AF537" s="8"/>
      <c r="AG537" s="8"/>
      <c r="AH537" s="8"/>
    </row>
    <row r="538" spans="1:34" ht="15.75" customHeight="1" x14ac:dyDescent="0.3">
      <c r="A538" s="5"/>
      <c r="B538" s="5"/>
      <c r="C538" s="5"/>
      <c r="D538" s="5"/>
      <c r="E538" s="5"/>
      <c r="F538" s="5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8"/>
      <c r="AF538" s="8"/>
      <c r="AG538" s="8"/>
      <c r="AH538" s="8"/>
    </row>
    <row r="539" spans="1:34" ht="15.75" customHeight="1" x14ac:dyDescent="0.3">
      <c r="A539" s="5"/>
      <c r="B539" s="5"/>
      <c r="C539" s="5"/>
      <c r="D539" s="5"/>
      <c r="E539" s="5"/>
      <c r="F539" s="5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8"/>
      <c r="AF539" s="8"/>
      <c r="AG539" s="8"/>
      <c r="AH539" s="8"/>
    </row>
    <row r="540" spans="1:34" ht="15.75" customHeight="1" x14ac:dyDescent="0.3">
      <c r="A540" s="5"/>
      <c r="B540" s="5"/>
      <c r="C540" s="5"/>
      <c r="D540" s="5"/>
      <c r="E540" s="5"/>
      <c r="F540" s="5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8"/>
      <c r="AF540" s="8"/>
      <c r="AG540" s="8"/>
      <c r="AH540" s="8"/>
    </row>
    <row r="541" spans="1:34" ht="15.75" customHeight="1" x14ac:dyDescent="0.3">
      <c r="A541" s="5"/>
      <c r="B541" s="5"/>
      <c r="C541" s="5"/>
      <c r="D541" s="5"/>
      <c r="E541" s="5"/>
      <c r="F541" s="5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8"/>
      <c r="AF541" s="8"/>
      <c r="AG541" s="8"/>
      <c r="AH541" s="8"/>
    </row>
    <row r="542" spans="1:34" ht="15.75" customHeight="1" x14ac:dyDescent="0.3">
      <c r="A542" s="5"/>
      <c r="B542" s="5"/>
      <c r="C542" s="5"/>
      <c r="D542" s="5"/>
      <c r="E542" s="5"/>
      <c r="F542" s="5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8"/>
      <c r="AF542" s="8"/>
      <c r="AG542" s="8"/>
      <c r="AH542" s="8"/>
    </row>
    <row r="543" spans="1:34" ht="15.75" customHeight="1" x14ac:dyDescent="0.3">
      <c r="A543" s="5"/>
      <c r="B543" s="5"/>
      <c r="C543" s="5"/>
      <c r="D543" s="5"/>
      <c r="E543" s="5"/>
      <c r="F543" s="5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8"/>
      <c r="AF543" s="8"/>
      <c r="AG543" s="8"/>
      <c r="AH543" s="8"/>
    </row>
    <row r="544" spans="1:34" ht="15.75" customHeight="1" x14ac:dyDescent="0.3">
      <c r="A544" s="5"/>
      <c r="B544" s="5"/>
      <c r="C544" s="5"/>
      <c r="D544" s="5"/>
      <c r="E544" s="5"/>
      <c r="F544" s="5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8"/>
      <c r="AF544" s="8"/>
      <c r="AG544" s="8"/>
      <c r="AH544" s="8"/>
    </row>
    <row r="545" spans="1:34" ht="15.75" customHeight="1" x14ac:dyDescent="0.3">
      <c r="A545" s="5"/>
      <c r="B545" s="5"/>
      <c r="C545" s="5"/>
      <c r="D545" s="5"/>
      <c r="E545" s="5"/>
      <c r="F545" s="5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8"/>
      <c r="AF545" s="8"/>
      <c r="AG545" s="8"/>
      <c r="AH545" s="8"/>
    </row>
    <row r="546" spans="1:34" ht="15.75" customHeight="1" x14ac:dyDescent="0.3">
      <c r="A546" s="5"/>
      <c r="B546" s="5"/>
      <c r="C546" s="5"/>
      <c r="D546" s="5"/>
      <c r="E546" s="5"/>
      <c r="F546" s="5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8"/>
      <c r="AF546" s="8"/>
      <c r="AG546" s="8"/>
      <c r="AH546" s="8"/>
    </row>
    <row r="547" spans="1:34" ht="15.75" customHeight="1" x14ac:dyDescent="0.3">
      <c r="A547" s="5"/>
      <c r="B547" s="5"/>
      <c r="C547" s="5"/>
      <c r="D547" s="5"/>
      <c r="E547" s="5"/>
      <c r="F547" s="5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8"/>
      <c r="AF547" s="8"/>
      <c r="AG547" s="8"/>
      <c r="AH547" s="8"/>
    </row>
    <row r="548" spans="1:34" ht="15.75" customHeight="1" x14ac:dyDescent="0.3">
      <c r="A548" s="5"/>
      <c r="B548" s="5"/>
      <c r="C548" s="5"/>
      <c r="D548" s="5"/>
      <c r="E548" s="5"/>
      <c r="F548" s="5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8"/>
      <c r="AF548" s="8"/>
      <c r="AG548" s="8"/>
      <c r="AH548" s="8"/>
    </row>
    <row r="549" spans="1:34" ht="15.75" customHeight="1" x14ac:dyDescent="0.3">
      <c r="A549" s="5"/>
      <c r="B549" s="5"/>
      <c r="C549" s="5"/>
      <c r="D549" s="5"/>
      <c r="E549" s="5"/>
      <c r="F549" s="5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8"/>
      <c r="AF549" s="8"/>
      <c r="AG549" s="8"/>
      <c r="AH549" s="8"/>
    </row>
    <row r="550" spans="1:34" ht="15.75" customHeight="1" x14ac:dyDescent="0.3">
      <c r="A550" s="5"/>
      <c r="B550" s="5"/>
      <c r="C550" s="5"/>
      <c r="D550" s="5"/>
      <c r="E550" s="5"/>
      <c r="F550" s="5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8"/>
      <c r="AF550" s="8"/>
      <c r="AG550" s="8"/>
      <c r="AH550" s="8"/>
    </row>
    <row r="551" spans="1:34" ht="15.75" customHeight="1" x14ac:dyDescent="0.3">
      <c r="A551" s="5"/>
      <c r="B551" s="5"/>
      <c r="C551" s="5"/>
      <c r="D551" s="5"/>
      <c r="E551" s="5"/>
      <c r="F551" s="5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8"/>
      <c r="AF551" s="8"/>
      <c r="AG551" s="8"/>
      <c r="AH551" s="8"/>
    </row>
    <row r="552" spans="1:34" ht="15.75" customHeight="1" x14ac:dyDescent="0.3">
      <c r="A552" s="5"/>
      <c r="B552" s="5"/>
      <c r="C552" s="5"/>
      <c r="D552" s="5"/>
      <c r="E552" s="5"/>
      <c r="F552" s="5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8"/>
      <c r="AF552" s="8"/>
      <c r="AG552" s="8"/>
      <c r="AH552" s="8"/>
    </row>
    <row r="553" spans="1:34" ht="15.75" customHeight="1" x14ac:dyDescent="0.3">
      <c r="A553" s="5"/>
      <c r="B553" s="5"/>
      <c r="C553" s="5"/>
      <c r="D553" s="5"/>
      <c r="E553" s="5"/>
      <c r="F553" s="5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8"/>
      <c r="AF553" s="8"/>
      <c r="AG553" s="8"/>
      <c r="AH553" s="8"/>
    </row>
    <row r="554" spans="1:34" ht="15.75" customHeight="1" x14ac:dyDescent="0.3">
      <c r="A554" s="5"/>
      <c r="B554" s="5"/>
      <c r="C554" s="5"/>
      <c r="D554" s="5"/>
      <c r="E554" s="5"/>
      <c r="F554" s="5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8"/>
      <c r="AF554" s="8"/>
      <c r="AG554" s="8"/>
      <c r="AH554" s="8"/>
    </row>
    <row r="555" spans="1:34" ht="15.75" customHeight="1" x14ac:dyDescent="0.3">
      <c r="A555" s="5"/>
      <c r="B555" s="5"/>
      <c r="C555" s="5"/>
      <c r="D555" s="5"/>
      <c r="E555" s="5"/>
      <c r="F555" s="5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8"/>
      <c r="AF555" s="8"/>
      <c r="AG555" s="8"/>
      <c r="AH555" s="8"/>
    </row>
    <row r="556" spans="1:34" ht="15.75" customHeight="1" x14ac:dyDescent="0.3">
      <c r="A556" s="5"/>
      <c r="B556" s="5"/>
      <c r="C556" s="5"/>
      <c r="D556" s="5"/>
      <c r="E556" s="5"/>
      <c r="F556" s="5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8"/>
      <c r="AF556" s="8"/>
      <c r="AG556" s="8"/>
      <c r="AH556" s="8"/>
    </row>
    <row r="557" spans="1:34" ht="15.75" customHeight="1" x14ac:dyDescent="0.3">
      <c r="A557" s="5"/>
      <c r="B557" s="5"/>
      <c r="C557" s="5"/>
      <c r="D557" s="5"/>
      <c r="E557" s="5"/>
      <c r="F557" s="5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8"/>
      <c r="AF557" s="8"/>
      <c r="AG557" s="8"/>
      <c r="AH557" s="8"/>
    </row>
    <row r="558" spans="1:34" ht="15.75" customHeight="1" x14ac:dyDescent="0.3">
      <c r="A558" s="5"/>
      <c r="B558" s="5"/>
      <c r="C558" s="5"/>
      <c r="D558" s="5"/>
      <c r="E558" s="5"/>
      <c r="F558" s="5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8"/>
      <c r="AF558" s="8"/>
      <c r="AG558" s="8"/>
      <c r="AH558" s="8"/>
    </row>
    <row r="559" spans="1:34" ht="15.75" customHeight="1" x14ac:dyDescent="0.3">
      <c r="A559" s="5"/>
      <c r="B559" s="5"/>
      <c r="C559" s="5"/>
      <c r="D559" s="5"/>
      <c r="E559" s="5"/>
      <c r="F559" s="5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8"/>
      <c r="AF559" s="8"/>
      <c r="AG559" s="8"/>
      <c r="AH559" s="8"/>
    </row>
    <row r="560" spans="1:34" ht="15.75" customHeight="1" x14ac:dyDescent="0.3">
      <c r="A560" s="5"/>
      <c r="B560" s="5"/>
      <c r="C560" s="5"/>
      <c r="D560" s="5"/>
      <c r="E560" s="5"/>
      <c r="F560" s="5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8"/>
      <c r="AF560" s="8"/>
      <c r="AG560" s="8"/>
      <c r="AH560" s="8"/>
    </row>
    <row r="561" spans="1:34" ht="15.75" customHeight="1" x14ac:dyDescent="0.3">
      <c r="A561" s="5"/>
      <c r="B561" s="5"/>
      <c r="C561" s="5"/>
      <c r="D561" s="5"/>
      <c r="E561" s="5"/>
      <c r="F561" s="5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8"/>
      <c r="AF561" s="8"/>
      <c r="AG561" s="8"/>
      <c r="AH561" s="8"/>
    </row>
    <row r="562" spans="1:34" ht="15.75" customHeight="1" x14ac:dyDescent="0.3">
      <c r="A562" s="5"/>
      <c r="B562" s="5"/>
      <c r="C562" s="5"/>
      <c r="D562" s="5"/>
      <c r="E562" s="5"/>
      <c r="F562" s="5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8"/>
      <c r="AF562" s="8"/>
      <c r="AG562" s="8"/>
      <c r="AH562" s="8"/>
    </row>
    <row r="563" spans="1:34" ht="15.75" customHeight="1" x14ac:dyDescent="0.3">
      <c r="A563" s="5"/>
      <c r="B563" s="5"/>
      <c r="C563" s="5"/>
      <c r="D563" s="5"/>
      <c r="E563" s="5"/>
      <c r="F563" s="5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8"/>
      <c r="AF563" s="8"/>
      <c r="AG563" s="8"/>
      <c r="AH563" s="8"/>
    </row>
    <row r="564" spans="1:34" ht="15.75" customHeight="1" x14ac:dyDescent="0.3">
      <c r="A564" s="5"/>
      <c r="B564" s="5"/>
      <c r="C564" s="5"/>
      <c r="D564" s="5"/>
      <c r="E564" s="5"/>
      <c r="F564" s="5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8"/>
      <c r="AF564" s="8"/>
      <c r="AG564" s="8"/>
      <c r="AH564" s="8"/>
    </row>
    <row r="565" spans="1:34" ht="15.75" customHeight="1" x14ac:dyDescent="0.3">
      <c r="A565" s="5"/>
      <c r="B565" s="5"/>
      <c r="C565" s="5"/>
      <c r="D565" s="5"/>
      <c r="E565" s="5"/>
      <c r="F565" s="5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8"/>
      <c r="AF565" s="8"/>
      <c r="AG565" s="8"/>
      <c r="AH565" s="8"/>
    </row>
    <row r="566" spans="1:34" ht="15.75" customHeight="1" x14ac:dyDescent="0.3">
      <c r="A566" s="5"/>
      <c r="B566" s="5"/>
      <c r="C566" s="5"/>
      <c r="D566" s="5"/>
      <c r="E566" s="5"/>
      <c r="F566" s="5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8"/>
      <c r="AF566" s="8"/>
      <c r="AG566" s="8"/>
      <c r="AH566" s="8"/>
    </row>
    <row r="567" spans="1:34" ht="15.75" customHeight="1" x14ac:dyDescent="0.3">
      <c r="A567" s="5"/>
      <c r="B567" s="5"/>
      <c r="C567" s="5"/>
      <c r="D567" s="5"/>
      <c r="E567" s="5"/>
      <c r="F567" s="5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8"/>
      <c r="AF567" s="8"/>
      <c r="AG567" s="8"/>
      <c r="AH567" s="8"/>
    </row>
    <row r="568" spans="1:34" ht="15.75" customHeight="1" x14ac:dyDescent="0.3">
      <c r="A568" s="5"/>
      <c r="B568" s="5"/>
      <c r="C568" s="5"/>
      <c r="D568" s="5"/>
      <c r="E568" s="5"/>
      <c r="F568" s="5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8"/>
      <c r="AF568" s="8"/>
      <c r="AG568" s="8"/>
      <c r="AH568" s="8"/>
    </row>
    <row r="569" spans="1:34" ht="15.75" customHeight="1" x14ac:dyDescent="0.3">
      <c r="A569" s="5"/>
      <c r="B569" s="5"/>
      <c r="C569" s="5"/>
      <c r="D569" s="5"/>
      <c r="E569" s="5"/>
      <c r="F569" s="5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8"/>
      <c r="AF569" s="8"/>
      <c r="AG569" s="8"/>
      <c r="AH569" s="8"/>
    </row>
    <row r="570" spans="1:34" ht="15.75" customHeight="1" x14ac:dyDescent="0.3">
      <c r="A570" s="5"/>
      <c r="B570" s="5"/>
      <c r="C570" s="5"/>
      <c r="D570" s="5"/>
      <c r="E570" s="5"/>
      <c r="F570" s="5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8"/>
      <c r="AF570" s="8"/>
      <c r="AG570" s="8"/>
      <c r="AH570" s="8"/>
    </row>
    <row r="571" spans="1:34" ht="15.75" customHeight="1" x14ac:dyDescent="0.3">
      <c r="A571" s="5"/>
      <c r="B571" s="5"/>
      <c r="C571" s="5"/>
      <c r="D571" s="5"/>
      <c r="E571" s="5"/>
      <c r="F571" s="5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8"/>
      <c r="AF571" s="8"/>
      <c r="AG571" s="8"/>
      <c r="AH571" s="8"/>
    </row>
    <row r="572" spans="1:34" ht="15.75" customHeight="1" x14ac:dyDescent="0.3">
      <c r="A572" s="5"/>
      <c r="B572" s="5"/>
      <c r="C572" s="5"/>
      <c r="D572" s="5"/>
      <c r="E572" s="5"/>
      <c r="F572" s="5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8"/>
      <c r="AF572" s="8"/>
      <c r="AG572" s="8"/>
      <c r="AH572" s="8"/>
    </row>
    <row r="573" spans="1:34" ht="15.75" customHeight="1" x14ac:dyDescent="0.3">
      <c r="A573" s="5"/>
      <c r="B573" s="5"/>
      <c r="C573" s="5"/>
      <c r="D573" s="5"/>
      <c r="E573" s="5"/>
      <c r="F573" s="5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8"/>
      <c r="AF573" s="8"/>
      <c r="AG573" s="8"/>
      <c r="AH573" s="8"/>
    </row>
    <row r="574" spans="1:34" ht="15.75" customHeight="1" x14ac:dyDescent="0.3">
      <c r="A574" s="5"/>
      <c r="B574" s="5"/>
      <c r="C574" s="5"/>
      <c r="D574" s="5"/>
      <c r="E574" s="5"/>
      <c r="F574" s="5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8"/>
      <c r="AF574" s="8"/>
      <c r="AG574" s="8"/>
      <c r="AH574" s="8"/>
    </row>
    <row r="575" spans="1:34" ht="15.75" customHeight="1" x14ac:dyDescent="0.3">
      <c r="A575" s="5"/>
      <c r="B575" s="5"/>
      <c r="C575" s="5"/>
      <c r="D575" s="5"/>
      <c r="E575" s="5"/>
      <c r="F575" s="5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8"/>
      <c r="AF575" s="8"/>
      <c r="AG575" s="8"/>
      <c r="AH575" s="8"/>
    </row>
    <row r="576" spans="1:34" ht="15.75" customHeight="1" x14ac:dyDescent="0.3">
      <c r="A576" s="5"/>
      <c r="B576" s="5"/>
      <c r="C576" s="5"/>
      <c r="D576" s="5"/>
      <c r="E576" s="5"/>
      <c r="F576" s="5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8"/>
      <c r="AF576" s="8"/>
      <c r="AG576" s="8"/>
      <c r="AH576" s="8"/>
    </row>
    <row r="577" spans="1:34" ht="15.75" customHeight="1" x14ac:dyDescent="0.3">
      <c r="A577" s="5"/>
      <c r="B577" s="5"/>
      <c r="C577" s="5"/>
      <c r="D577" s="5"/>
      <c r="E577" s="5"/>
      <c r="F577" s="5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8"/>
      <c r="AF577" s="8"/>
      <c r="AG577" s="8"/>
      <c r="AH577" s="8"/>
    </row>
    <row r="578" spans="1:34" ht="15.75" customHeight="1" x14ac:dyDescent="0.3">
      <c r="A578" s="5"/>
      <c r="B578" s="5"/>
      <c r="C578" s="5"/>
      <c r="D578" s="5"/>
      <c r="E578" s="5"/>
      <c r="F578" s="5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8"/>
      <c r="AF578" s="8"/>
      <c r="AG578" s="8"/>
      <c r="AH578" s="8"/>
    </row>
    <row r="579" spans="1:34" ht="15.75" customHeight="1" x14ac:dyDescent="0.3">
      <c r="A579" s="5"/>
      <c r="B579" s="5"/>
      <c r="C579" s="5"/>
      <c r="D579" s="5"/>
      <c r="E579" s="5"/>
      <c r="F579" s="5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8"/>
      <c r="AF579" s="8"/>
      <c r="AG579" s="8"/>
      <c r="AH579" s="8"/>
    </row>
    <row r="580" spans="1:34" ht="15.75" customHeight="1" x14ac:dyDescent="0.3">
      <c r="A580" s="5"/>
      <c r="B580" s="5"/>
      <c r="C580" s="5"/>
      <c r="D580" s="5"/>
      <c r="E580" s="5"/>
      <c r="F580" s="5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8"/>
      <c r="AF580" s="8"/>
      <c r="AG580" s="8"/>
      <c r="AH580" s="8"/>
    </row>
    <row r="581" spans="1:34" ht="15.75" customHeight="1" x14ac:dyDescent="0.3">
      <c r="A581" s="5"/>
      <c r="B581" s="5"/>
      <c r="C581" s="5"/>
      <c r="D581" s="5"/>
      <c r="E581" s="5"/>
      <c r="F581" s="5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8"/>
      <c r="AF581" s="8"/>
      <c r="AG581" s="8"/>
      <c r="AH581" s="8"/>
    </row>
    <row r="582" spans="1:34" ht="15.75" customHeight="1" x14ac:dyDescent="0.3">
      <c r="A582" s="5"/>
      <c r="B582" s="5"/>
      <c r="C582" s="5"/>
      <c r="D582" s="5"/>
      <c r="E582" s="5"/>
      <c r="F582" s="5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8"/>
      <c r="AF582" s="8"/>
      <c r="AG582" s="8"/>
      <c r="AH582" s="8"/>
    </row>
    <row r="583" spans="1:34" ht="15.75" customHeight="1" x14ac:dyDescent="0.3">
      <c r="A583" s="5"/>
      <c r="B583" s="5"/>
      <c r="C583" s="5"/>
      <c r="D583" s="5"/>
      <c r="E583" s="5"/>
      <c r="F583" s="5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8"/>
      <c r="AF583" s="8"/>
      <c r="AG583" s="8"/>
      <c r="AH583" s="8"/>
    </row>
    <row r="584" spans="1:34" ht="15.75" customHeight="1" x14ac:dyDescent="0.3">
      <c r="A584" s="5"/>
      <c r="B584" s="5"/>
      <c r="C584" s="5"/>
      <c r="D584" s="5"/>
      <c r="E584" s="5"/>
      <c r="F584" s="5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8"/>
      <c r="AF584" s="8"/>
      <c r="AG584" s="8"/>
      <c r="AH584" s="8"/>
    </row>
    <row r="585" spans="1:34" ht="15.75" customHeight="1" x14ac:dyDescent="0.3">
      <c r="A585" s="5"/>
      <c r="B585" s="5"/>
      <c r="C585" s="5"/>
      <c r="D585" s="5"/>
      <c r="E585" s="5"/>
      <c r="F585" s="5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8"/>
      <c r="AF585" s="8"/>
      <c r="AG585" s="8"/>
      <c r="AH585" s="8"/>
    </row>
    <row r="586" spans="1:34" ht="15.75" customHeight="1" x14ac:dyDescent="0.3">
      <c r="A586" s="5"/>
      <c r="B586" s="5"/>
      <c r="C586" s="5"/>
      <c r="D586" s="5"/>
      <c r="E586" s="5"/>
      <c r="F586" s="5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8"/>
      <c r="AF586" s="8"/>
      <c r="AG586" s="8"/>
      <c r="AH586" s="8"/>
    </row>
    <row r="587" spans="1:34" ht="15.75" customHeight="1" x14ac:dyDescent="0.3">
      <c r="A587" s="5"/>
      <c r="B587" s="5"/>
      <c r="C587" s="5"/>
      <c r="D587" s="5"/>
      <c r="E587" s="5"/>
      <c r="F587" s="5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8"/>
      <c r="AF587" s="8"/>
      <c r="AG587" s="8"/>
      <c r="AH587" s="8"/>
    </row>
    <row r="588" spans="1:34" ht="15.75" customHeight="1" x14ac:dyDescent="0.3">
      <c r="A588" s="5"/>
      <c r="B588" s="5"/>
      <c r="C588" s="5"/>
      <c r="D588" s="5"/>
      <c r="E588" s="5"/>
      <c r="F588" s="5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8"/>
      <c r="AF588" s="8"/>
      <c r="AG588" s="8"/>
      <c r="AH588" s="8"/>
    </row>
    <row r="589" spans="1:34" ht="15.75" customHeight="1" x14ac:dyDescent="0.3">
      <c r="A589" s="5"/>
      <c r="B589" s="5"/>
      <c r="C589" s="5"/>
      <c r="D589" s="5"/>
      <c r="E589" s="5"/>
      <c r="F589" s="5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8"/>
      <c r="AF589" s="8"/>
      <c r="AG589" s="8"/>
      <c r="AH589" s="8"/>
    </row>
    <row r="590" spans="1:34" ht="15.75" customHeight="1" x14ac:dyDescent="0.3">
      <c r="A590" s="5"/>
      <c r="B590" s="5"/>
      <c r="C590" s="5"/>
      <c r="D590" s="5"/>
      <c r="E590" s="5"/>
      <c r="F590" s="5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8"/>
      <c r="AF590" s="8"/>
      <c r="AG590" s="8"/>
      <c r="AH590" s="8"/>
    </row>
    <row r="591" spans="1:34" ht="15.75" customHeight="1" x14ac:dyDescent="0.3">
      <c r="A591" s="5"/>
      <c r="B591" s="5"/>
      <c r="C591" s="5"/>
      <c r="D591" s="5"/>
      <c r="E591" s="5"/>
      <c r="F591" s="5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8"/>
      <c r="AF591" s="8"/>
      <c r="AG591" s="8"/>
      <c r="AH591" s="8"/>
    </row>
    <row r="592" spans="1:34" ht="15.75" customHeight="1" x14ac:dyDescent="0.3">
      <c r="A592" s="5"/>
      <c r="B592" s="5"/>
      <c r="C592" s="5"/>
      <c r="D592" s="5"/>
      <c r="E592" s="5"/>
      <c r="F592" s="5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8"/>
      <c r="AF592" s="8"/>
      <c r="AG592" s="8"/>
      <c r="AH592" s="8"/>
    </row>
    <row r="593" spans="1:34" ht="15.75" customHeight="1" x14ac:dyDescent="0.3">
      <c r="A593" s="5"/>
      <c r="B593" s="5"/>
      <c r="C593" s="5"/>
      <c r="D593" s="5"/>
      <c r="E593" s="5"/>
      <c r="F593" s="5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8"/>
      <c r="AF593" s="8"/>
      <c r="AG593" s="8"/>
      <c r="AH593" s="8"/>
    </row>
    <row r="594" spans="1:34" ht="15.75" customHeight="1" x14ac:dyDescent="0.3">
      <c r="A594" s="5"/>
      <c r="B594" s="5"/>
      <c r="C594" s="5"/>
      <c r="D594" s="5"/>
      <c r="E594" s="5"/>
      <c r="F594" s="5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8"/>
      <c r="AF594" s="8"/>
      <c r="AG594" s="8"/>
      <c r="AH594" s="8"/>
    </row>
    <row r="595" spans="1:34" ht="15.75" customHeight="1" x14ac:dyDescent="0.3">
      <c r="A595" s="5"/>
      <c r="B595" s="5"/>
      <c r="C595" s="5"/>
      <c r="D595" s="5"/>
      <c r="E595" s="5"/>
      <c r="F595" s="5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8"/>
      <c r="AF595" s="8"/>
      <c r="AG595" s="8"/>
      <c r="AH595" s="8"/>
    </row>
    <row r="596" spans="1:34" ht="15.75" customHeight="1" x14ac:dyDescent="0.3">
      <c r="A596" s="5"/>
      <c r="B596" s="5"/>
      <c r="C596" s="5"/>
      <c r="D596" s="5"/>
      <c r="E596" s="5"/>
      <c r="F596" s="5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8"/>
      <c r="AF596" s="8"/>
      <c r="AG596" s="8"/>
      <c r="AH596" s="8"/>
    </row>
    <row r="597" spans="1:34" ht="15.75" customHeight="1" x14ac:dyDescent="0.3">
      <c r="A597" s="5"/>
      <c r="B597" s="5"/>
      <c r="C597" s="5"/>
      <c r="D597" s="5"/>
      <c r="E597" s="5"/>
      <c r="F597" s="5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8"/>
      <c r="AF597" s="8"/>
      <c r="AG597" s="8"/>
      <c r="AH597" s="8"/>
    </row>
    <row r="598" spans="1:34" ht="15.75" customHeight="1" x14ac:dyDescent="0.3">
      <c r="A598" s="5"/>
      <c r="B598" s="5"/>
      <c r="C598" s="5"/>
      <c r="D598" s="5"/>
      <c r="E598" s="5"/>
      <c r="F598" s="5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8"/>
      <c r="AF598" s="8"/>
      <c r="AG598" s="8"/>
      <c r="AH598" s="8"/>
    </row>
    <row r="599" spans="1:34" ht="15.75" customHeight="1" x14ac:dyDescent="0.3">
      <c r="A599" s="5"/>
      <c r="B599" s="5"/>
      <c r="C599" s="5"/>
      <c r="D599" s="5"/>
      <c r="E599" s="5"/>
      <c r="F599" s="5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8"/>
      <c r="AF599" s="8"/>
      <c r="AG599" s="8"/>
      <c r="AH599" s="8"/>
    </row>
    <row r="600" spans="1:34" ht="15.75" customHeight="1" x14ac:dyDescent="0.3">
      <c r="A600" s="5"/>
      <c r="B600" s="5"/>
      <c r="C600" s="5"/>
      <c r="D600" s="5"/>
      <c r="E600" s="5"/>
      <c r="F600" s="5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8"/>
      <c r="AF600" s="8"/>
      <c r="AG600" s="8"/>
      <c r="AH600" s="8"/>
    </row>
    <row r="601" spans="1:34" ht="15.75" customHeight="1" x14ac:dyDescent="0.3">
      <c r="A601" s="5"/>
      <c r="B601" s="5"/>
      <c r="C601" s="5"/>
      <c r="D601" s="5"/>
      <c r="E601" s="5"/>
      <c r="F601" s="5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8"/>
      <c r="AF601" s="8"/>
      <c r="AG601" s="8"/>
      <c r="AH601" s="8"/>
    </row>
    <row r="602" spans="1:34" ht="15.75" customHeight="1" x14ac:dyDescent="0.3">
      <c r="A602" s="5"/>
      <c r="B602" s="5"/>
      <c r="C602" s="5"/>
      <c r="D602" s="5"/>
      <c r="E602" s="5"/>
      <c r="F602" s="5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8"/>
      <c r="AF602" s="8"/>
      <c r="AG602" s="8"/>
      <c r="AH602" s="8"/>
    </row>
    <row r="603" spans="1:34" ht="15.75" customHeight="1" x14ac:dyDescent="0.3">
      <c r="A603" s="5"/>
      <c r="B603" s="5"/>
      <c r="C603" s="5"/>
      <c r="D603" s="5"/>
      <c r="E603" s="5"/>
      <c r="F603" s="5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8"/>
      <c r="AF603" s="8"/>
      <c r="AG603" s="8"/>
      <c r="AH603" s="8"/>
    </row>
    <row r="604" spans="1:34" ht="15.75" customHeight="1" x14ac:dyDescent="0.3">
      <c r="A604" s="5"/>
      <c r="B604" s="5"/>
      <c r="C604" s="5"/>
      <c r="D604" s="5"/>
      <c r="E604" s="5"/>
      <c r="F604" s="5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8"/>
      <c r="AF604" s="8"/>
      <c r="AG604" s="8"/>
      <c r="AH604" s="8"/>
    </row>
    <row r="605" spans="1:34" ht="15.75" customHeight="1" x14ac:dyDescent="0.3">
      <c r="A605" s="5"/>
      <c r="B605" s="5"/>
      <c r="C605" s="5"/>
      <c r="D605" s="5"/>
      <c r="E605" s="5"/>
      <c r="F605" s="5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8"/>
      <c r="AF605" s="8"/>
      <c r="AG605" s="8"/>
      <c r="AH605" s="8"/>
    </row>
    <row r="606" spans="1:34" ht="15.75" customHeight="1" x14ac:dyDescent="0.3">
      <c r="A606" s="5"/>
      <c r="B606" s="5"/>
      <c r="C606" s="5"/>
      <c r="D606" s="5"/>
      <c r="E606" s="5"/>
      <c r="F606" s="5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8"/>
      <c r="AF606" s="8"/>
      <c r="AG606" s="8"/>
      <c r="AH606" s="8"/>
    </row>
    <row r="607" spans="1:34" ht="15.75" customHeight="1" x14ac:dyDescent="0.3">
      <c r="A607" s="5"/>
      <c r="B607" s="5"/>
      <c r="C607" s="5"/>
      <c r="D607" s="5"/>
      <c r="E607" s="5"/>
      <c r="F607" s="5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8"/>
      <c r="AF607" s="8"/>
      <c r="AG607" s="8"/>
      <c r="AH607" s="8"/>
    </row>
    <row r="608" spans="1:34" ht="15.75" customHeight="1" x14ac:dyDescent="0.3">
      <c r="A608" s="5"/>
      <c r="B608" s="5"/>
      <c r="C608" s="5"/>
      <c r="D608" s="5"/>
      <c r="E608" s="5"/>
      <c r="F608" s="5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8"/>
      <c r="AF608" s="8"/>
      <c r="AG608" s="8"/>
      <c r="AH608" s="8"/>
    </row>
    <row r="609" spans="1:34" ht="15.75" customHeight="1" x14ac:dyDescent="0.3">
      <c r="A609" s="5"/>
      <c r="B609" s="5"/>
      <c r="C609" s="5"/>
      <c r="D609" s="5"/>
      <c r="E609" s="5"/>
      <c r="F609" s="5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8"/>
      <c r="AF609" s="8"/>
      <c r="AG609" s="8"/>
      <c r="AH609" s="8"/>
    </row>
    <row r="610" spans="1:34" ht="15.75" customHeight="1" x14ac:dyDescent="0.3">
      <c r="A610" s="5"/>
      <c r="B610" s="5"/>
      <c r="C610" s="5"/>
      <c r="D610" s="5"/>
      <c r="E610" s="5"/>
      <c r="F610" s="5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8"/>
      <c r="AF610" s="8"/>
      <c r="AG610" s="8"/>
      <c r="AH610" s="8"/>
    </row>
    <row r="611" spans="1:34" ht="15.75" customHeight="1" x14ac:dyDescent="0.3">
      <c r="A611" s="5"/>
      <c r="B611" s="5"/>
      <c r="C611" s="5"/>
      <c r="D611" s="5"/>
      <c r="E611" s="5"/>
      <c r="F611" s="5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8"/>
      <c r="AF611" s="8"/>
      <c r="AG611" s="8"/>
      <c r="AH611" s="8"/>
    </row>
    <row r="612" spans="1:34" ht="15.75" customHeight="1" x14ac:dyDescent="0.3">
      <c r="A612" s="5"/>
      <c r="B612" s="5"/>
      <c r="C612" s="5"/>
      <c r="D612" s="5"/>
      <c r="E612" s="5"/>
      <c r="F612" s="5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8"/>
      <c r="AF612" s="8"/>
      <c r="AG612" s="8"/>
      <c r="AH612" s="8"/>
    </row>
    <row r="613" spans="1:34" ht="15.75" customHeight="1" x14ac:dyDescent="0.3">
      <c r="A613" s="5"/>
      <c r="B613" s="5"/>
      <c r="C613" s="5"/>
      <c r="D613" s="5"/>
      <c r="E613" s="5"/>
      <c r="F613" s="5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8"/>
      <c r="AF613" s="8"/>
      <c r="AG613" s="8"/>
      <c r="AH613" s="8"/>
    </row>
    <row r="614" spans="1:34" ht="15.75" customHeight="1" x14ac:dyDescent="0.3">
      <c r="A614" s="5"/>
      <c r="B614" s="5"/>
      <c r="C614" s="5"/>
      <c r="D614" s="5"/>
      <c r="E614" s="5"/>
      <c r="F614" s="5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8"/>
      <c r="AF614" s="8"/>
      <c r="AG614" s="8"/>
      <c r="AH614" s="8"/>
    </row>
    <row r="615" spans="1:34" ht="15.75" customHeight="1" x14ac:dyDescent="0.3">
      <c r="A615" s="5"/>
      <c r="B615" s="5"/>
      <c r="C615" s="5"/>
      <c r="D615" s="5"/>
      <c r="E615" s="5"/>
      <c r="F615" s="5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8"/>
      <c r="AF615" s="8"/>
      <c r="AG615" s="8"/>
      <c r="AH615" s="8"/>
    </row>
    <row r="616" spans="1:34" ht="15.75" customHeight="1" x14ac:dyDescent="0.3">
      <c r="A616" s="5"/>
      <c r="B616" s="5"/>
      <c r="C616" s="5"/>
      <c r="D616" s="5"/>
      <c r="E616" s="5"/>
      <c r="F616" s="5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8"/>
      <c r="AF616" s="8"/>
      <c r="AG616" s="8"/>
      <c r="AH616" s="8"/>
    </row>
    <row r="617" spans="1:34" ht="15.75" customHeight="1" x14ac:dyDescent="0.3">
      <c r="A617" s="5"/>
      <c r="B617" s="5"/>
      <c r="C617" s="5"/>
      <c r="D617" s="5"/>
      <c r="E617" s="5"/>
      <c r="F617" s="5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8"/>
      <c r="AF617" s="8"/>
      <c r="AG617" s="8"/>
      <c r="AH617" s="8"/>
    </row>
    <row r="618" spans="1:34" ht="15.75" customHeight="1" x14ac:dyDescent="0.3">
      <c r="A618" s="5"/>
      <c r="B618" s="5"/>
      <c r="C618" s="5"/>
      <c r="D618" s="5"/>
      <c r="E618" s="5"/>
      <c r="F618" s="5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8"/>
      <c r="AF618" s="8"/>
      <c r="AG618" s="8"/>
      <c r="AH618" s="8"/>
    </row>
    <row r="619" spans="1:34" ht="15.75" customHeight="1" x14ac:dyDescent="0.3">
      <c r="A619" s="5"/>
      <c r="B619" s="5"/>
      <c r="C619" s="5"/>
      <c r="D619" s="5"/>
      <c r="E619" s="5"/>
      <c r="F619" s="5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8"/>
      <c r="AF619" s="8"/>
      <c r="AG619" s="8"/>
      <c r="AH619" s="8"/>
    </row>
    <row r="620" spans="1:34" ht="15.75" customHeight="1" x14ac:dyDescent="0.3">
      <c r="A620" s="5"/>
      <c r="B620" s="5"/>
      <c r="C620" s="5"/>
      <c r="D620" s="5"/>
      <c r="E620" s="5"/>
      <c r="F620" s="5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8"/>
      <c r="AF620" s="8"/>
      <c r="AG620" s="8"/>
      <c r="AH620" s="8"/>
    </row>
    <row r="621" spans="1:34" ht="15.75" customHeight="1" x14ac:dyDescent="0.3">
      <c r="A621" s="5"/>
      <c r="B621" s="5"/>
      <c r="C621" s="5"/>
      <c r="D621" s="5"/>
      <c r="E621" s="5"/>
      <c r="F621" s="5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8"/>
      <c r="AF621" s="8"/>
      <c r="AG621" s="8"/>
      <c r="AH621" s="8"/>
    </row>
    <row r="622" spans="1:34" ht="15.75" customHeight="1" x14ac:dyDescent="0.3">
      <c r="A622" s="5"/>
      <c r="B622" s="5"/>
      <c r="C622" s="5"/>
      <c r="D622" s="5"/>
      <c r="E622" s="5"/>
      <c r="F622" s="5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8"/>
      <c r="AF622" s="8"/>
      <c r="AG622" s="8"/>
      <c r="AH622" s="8"/>
    </row>
    <row r="623" spans="1:34" ht="15.75" customHeight="1" x14ac:dyDescent="0.3">
      <c r="A623" s="5"/>
      <c r="B623" s="5"/>
      <c r="C623" s="5"/>
      <c r="D623" s="5"/>
      <c r="E623" s="5"/>
      <c r="F623" s="5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8"/>
      <c r="AF623" s="8"/>
      <c r="AG623" s="8"/>
      <c r="AH623" s="8"/>
    </row>
    <row r="624" spans="1:34" ht="15.75" customHeight="1" x14ac:dyDescent="0.3">
      <c r="A624" s="5"/>
      <c r="B624" s="5"/>
      <c r="C624" s="5"/>
      <c r="D624" s="5"/>
      <c r="E624" s="5"/>
      <c r="F624" s="5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8"/>
      <c r="AF624" s="8"/>
      <c r="AG624" s="8"/>
      <c r="AH624" s="8"/>
    </row>
    <row r="625" spans="1:34" ht="15.75" customHeight="1" x14ac:dyDescent="0.3">
      <c r="A625" s="5"/>
      <c r="B625" s="5"/>
      <c r="C625" s="5"/>
      <c r="D625" s="5"/>
      <c r="E625" s="5"/>
      <c r="F625" s="5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8"/>
      <c r="AF625" s="8"/>
      <c r="AG625" s="8"/>
      <c r="AH625" s="8"/>
    </row>
    <row r="626" spans="1:34" ht="15.75" customHeight="1" x14ac:dyDescent="0.3">
      <c r="A626" s="5"/>
      <c r="B626" s="5"/>
      <c r="C626" s="5"/>
      <c r="D626" s="5"/>
      <c r="E626" s="5"/>
      <c r="F626" s="5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8"/>
      <c r="AF626" s="8"/>
      <c r="AG626" s="8"/>
      <c r="AH626" s="8"/>
    </row>
    <row r="627" spans="1:34" ht="15.75" customHeight="1" x14ac:dyDescent="0.3">
      <c r="A627" s="5"/>
      <c r="B627" s="5"/>
      <c r="C627" s="5"/>
      <c r="D627" s="5"/>
      <c r="E627" s="5"/>
      <c r="F627" s="5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8"/>
      <c r="AF627" s="8"/>
      <c r="AG627" s="8"/>
      <c r="AH627" s="8"/>
    </row>
    <row r="628" spans="1:34" ht="15.75" customHeight="1" x14ac:dyDescent="0.3">
      <c r="A628" s="5"/>
      <c r="B628" s="5"/>
      <c r="C628" s="5"/>
      <c r="D628" s="5"/>
      <c r="E628" s="5"/>
      <c r="F628" s="5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8"/>
      <c r="AF628" s="8"/>
      <c r="AG628" s="8"/>
      <c r="AH628" s="8"/>
    </row>
    <row r="629" spans="1:34" ht="15.75" customHeight="1" x14ac:dyDescent="0.3">
      <c r="A629" s="5"/>
      <c r="B629" s="5"/>
      <c r="C629" s="5"/>
      <c r="D629" s="5"/>
      <c r="E629" s="5"/>
      <c r="F629" s="5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8"/>
      <c r="AF629" s="8"/>
      <c r="AG629" s="8"/>
      <c r="AH629" s="8"/>
    </row>
    <row r="630" spans="1:34" ht="15.75" customHeight="1" x14ac:dyDescent="0.3">
      <c r="A630" s="5"/>
      <c r="B630" s="5"/>
      <c r="C630" s="5"/>
      <c r="D630" s="5"/>
      <c r="E630" s="5"/>
      <c r="F630" s="5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8"/>
      <c r="AF630" s="8"/>
      <c r="AG630" s="8"/>
      <c r="AH630" s="8"/>
    </row>
    <row r="631" spans="1:34" ht="15.75" customHeight="1" x14ac:dyDescent="0.3">
      <c r="A631" s="5"/>
      <c r="B631" s="5"/>
      <c r="C631" s="5"/>
      <c r="D631" s="5"/>
      <c r="E631" s="5"/>
      <c r="F631" s="5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8"/>
      <c r="AF631" s="8"/>
      <c r="AG631" s="8"/>
      <c r="AH631" s="8"/>
    </row>
    <row r="632" spans="1:34" ht="15.75" customHeight="1" x14ac:dyDescent="0.3">
      <c r="A632" s="5"/>
      <c r="B632" s="5"/>
      <c r="C632" s="5"/>
      <c r="D632" s="5"/>
      <c r="E632" s="5"/>
      <c r="F632" s="5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8"/>
      <c r="AF632" s="8"/>
      <c r="AG632" s="8"/>
      <c r="AH632" s="8"/>
    </row>
    <row r="633" spans="1:34" ht="15.75" customHeight="1" x14ac:dyDescent="0.3">
      <c r="A633" s="5"/>
      <c r="B633" s="5"/>
      <c r="C633" s="5"/>
      <c r="D633" s="5"/>
      <c r="E633" s="5"/>
      <c r="F633" s="5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8"/>
      <c r="AF633" s="8"/>
      <c r="AG633" s="8"/>
      <c r="AH633" s="8"/>
    </row>
    <row r="634" spans="1:34" ht="15.75" customHeight="1" x14ac:dyDescent="0.3">
      <c r="A634" s="5"/>
      <c r="B634" s="5"/>
      <c r="C634" s="5"/>
      <c r="D634" s="5"/>
      <c r="E634" s="5"/>
      <c r="F634" s="5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8"/>
      <c r="AF634" s="8"/>
      <c r="AG634" s="8"/>
      <c r="AH634" s="8"/>
    </row>
    <row r="635" spans="1:34" ht="15.75" customHeight="1" x14ac:dyDescent="0.3">
      <c r="A635" s="5"/>
      <c r="B635" s="5"/>
      <c r="C635" s="5"/>
      <c r="D635" s="5"/>
      <c r="E635" s="5"/>
      <c r="F635" s="5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8"/>
      <c r="AF635" s="8"/>
      <c r="AG635" s="8"/>
      <c r="AH635" s="8"/>
    </row>
    <row r="636" spans="1:34" ht="15.75" customHeight="1" x14ac:dyDescent="0.3">
      <c r="A636" s="5"/>
      <c r="B636" s="5"/>
      <c r="C636" s="5"/>
      <c r="D636" s="5"/>
      <c r="E636" s="5"/>
      <c r="F636" s="5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8"/>
      <c r="AF636" s="8"/>
      <c r="AG636" s="8"/>
      <c r="AH636" s="8"/>
    </row>
    <row r="637" spans="1:34" ht="15.75" customHeight="1" x14ac:dyDescent="0.3">
      <c r="A637" s="5"/>
      <c r="B637" s="5"/>
      <c r="C637" s="5"/>
      <c r="D637" s="5"/>
      <c r="E637" s="5"/>
      <c r="F637" s="5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8"/>
      <c r="AF637" s="8"/>
      <c r="AG637" s="8"/>
      <c r="AH637" s="8"/>
    </row>
    <row r="638" spans="1:34" ht="15.75" customHeight="1" x14ac:dyDescent="0.3">
      <c r="A638" s="5"/>
      <c r="B638" s="5"/>
      <c r="C638" s="5"/>
      <c r="D638" s="5"/>
      <c r="E638" s="5"/>
      <c r="F638" s="5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8"/>
      <c r="AF638" s="8"/>
      <c r="AG638" s="8"/>
      <c r="AH638" s="8"/>
    </row>
    <row r="639" spans="1:34" ht="15.75" customHeight="1" x14ac:dyDescent="0.3">
      <c r="A639" s="5"/>
      <c r="B639" s="5"/>
      <c r="C639" s="5"/>
      <c r="D639" s="5"/>
      <c r="E639" s="5"/>
      <c r="F639" s="5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8"/>
      <c r="AF639" s="8"/>
      <c r="AG639" s="8"/>
      <c r="AH639" s="8"/>
    </row>
    <row r="640" spans="1:34" ht="15.75" customHeight="1" x14ac:dyDescent="0.3">
      <c r="A640" s="5"/>
      <c r="B640" s="5"/>
      <c r="C640" s="5"/>
      <c r="D640" s="5"/>
      <c r="E640" s="5"/>
      <c r="F640" s="5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8"/>
      <c r="AF640" s="8"/>
      <c r="AG640" s="8"/>
      <c r="AH640" s="8"/>
    </row>
    <row r="641" spans="1:34" ht="15.75" customHeight="1" x14ac:dyDescent="0.3">
      <c r="A641" s="5"/>
      <c r="B641" s="5"/>
      <c r="C641" s="5"/>
      <c r="D641" s="5"/>
      <c r="E641" s="5"/>
      <c r="F641" s="5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8"/>
      <c r="AF641" s="8"/>
      <c r="AG641" s="8"/>
      <c r="AH641" s="8"/>
    </row>
    <row r="642" spans="1:34" ht="15.75" customHeight="1" x14ac:dyDescent="0.3">
      <c r="A642" s="5"/>
      <c r="B642" s="5"/>
      <c r="C642" s="5"/>
      <c r="D642" s="5"/>
      <c r="E642" s="5"/>
      <c r="F642" s="5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8"/>
      <c r="AF642" s="8"/>
      <c r="AG642" s="8"/>
      <c r="AH642" s="8"/>
    </row>
    <row r="643" spans="1:34" ht="15.75" customHeight="1" x14ac:dyDescent="0.3">
      <c r="A643" s="5"/>
      <c r="B643" s="5"/>
      <c r="C643" s="5"/>
      <c r="D643" s="5"/>
      <c r="E643" s="5"/>
      <c r="F643" s="5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8"/>
      <c r="AF643" s="8"/>
      <c r="AG643" s="8"/>
      <c r="AH643" s="8"/>
    </row>
    <row r="644" spans="1:34" ht="15.75" customHeight="1" x14ac:dyDescent="0.3">
      <c r="A644" s="5"/>
      <c r="B644" s="5"/>
      <c r="C644" s="5"/>
      <c r="D644" s="5"/>
      <c r="E644" s="5"/>
      <c r="F644" s="5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8"/>
      <c r="AF644" s="8"/>
      <c r="AG644" s="8"/>
      <c r="AH644" s="8"/>
    </row>
    <row r="645" spans="1:34" ht="15.75" customHeight="1" x14ac:dyDescent="0.3">
      <c r="A645" s="5"/>
      <c r="B645" s="5"/>
      <c r="C645" s="5"/>
      <c r="D645" s="5"/>
      <c r="E645" s="5"/>
      <c r="F645" s="5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8"/>
      <c r="AF645" s="8"/>
      <c r="AG645" s="8"/>
      <c r="AH645" s="8"/>
    </row>
    <row r="646" spans="1:34" ht="15.75" customHeight="1" x14ac:dyDescent="0.3">
      <c r="A646" s="5"/>
      <c r="B646" s="5"/>
      <c r="C646" s="5"/>
      <c r="D646" s="5"/>
      <c r="E646" s="5"/>
      <c r="F646" s="5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8"/>
      <c r="AF646" s="8"/>
      <c r="AG646" s="8"/>
      <c r="AH646" s="8"/>
    </row>
    <row r="647" spans="1:34" ht="15.75" customHeight="1" x14ac:dyDescent="0.3">
      <c r="A647" s="5"/>
      <c r="B647" s="5"/>
      <c r="C647" s="5"/>
      <c r="D647" s="5"/>
      <c r="E647" s="5"/>
      <c r="F647" s="5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8"/>
      <c r="AF647" s="8"/>
      <c r="AG647" s="8"/>
      <c r="AH647" s="8"/>
    </row>
    <row r="648" spans="1:34" ht="15.75" customHeight="1" x14ac:dyDescent="0.3">
      <c r="A648" s="5"/>
      <c r="B648" s="5"/>
      <c r="C648" s="5"/>
      <c r="D648" s="5"/>
      <c r="E648" s="5"/>
      <c r="F648" s="5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8"/>
      <c r="AF648" s="8"/>
      <c r="AG648" s="8"/>
      <c r="AH648" s="8"/>
    </row>
    <row r="649" spans="1:34" ht="15.75" customHeight="1" x14ac:dyDescent="0.3">
      <c r="A649" s="5"/>
      <c r="B649" s="5"/>
      <c r="C649" s="5"/>
      <c r="D649" s="5"/>
      <c r="E649" s="5"/>
      <c r="F649" s="5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8"/>
      <c r="AF649" s="8"/>
      <c r="AG649" s="8"/>
      <c r="AH649" s="8"/>
    </row>
    <row r="650" spans="1:34" ht="15.75" customHeight="1" x14ac:dyDescent="0.3">
      <c r="A650" s="5"/>
      <c r="B650" s="5"/>
      <c r="C650" s="5"/>
      <c r="D650" s="5"/>
      <c r="E650" s="5"/>
      <c r="F650" s="5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8"/>
      <c r="AF650" s="8"/>
      <c r="AG650" s="8"/>
      <c r="AH650" s="8"/>
    </row>
    <row r="651" spans="1:34" ht="15.75" customHeight="1" x14ac:dyDescent="0.3">
      <c r="A651" s="5"/>
      <c r="B651" s="5"/>
      <c r="C651" s="5"/>
      <c r="D651" s="5"/>
      <c r="E651" s="5"/>
      <c r="F651" s="5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8"/>
      <c r="AF651" s="8"/>
      <c r="AG651" s="8"/>
      <c r="AH651" s="8"/>
    </row>
    <row r="652" spans="1:34" ht="15.75" customHeight="1" x14ac:dyDescent="0.3">
      <c r="A652" s="5"/>
      <c r="B652" s="5"/>
      <c r="C652" s="5"/>
      <c r="D652" s="5"/>
      <c r="E652" s="5"/>
      <c r="F652" s="5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8"/>
      <c r="AF652" s="8"/>
      <c r="AG652" s="8"/>
      <c r="AH652" s="8"/>
    </row>
    <row r="653" spans="1:34" ht="15.75" customHeight="1" x14ac:dyDescent="0.3">
      <c r="A653" s="5"/>
      <c r="B653" s="5"/>
      <c r="C653" s="5"/>
      <c r="D653" s="5"/>
      <c r="E653" s="5"/>
      <c r="F653" s="5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8"/>
      <c r="AF653" s="8"/>
      <c r="AG653" s="8"/>
      <c r="AH653" s="8"/>
    </row>
    <row r="654" spans="1:34" ht="15.75" customHeight="1" x14ac:dyDescent="0.3">
      <c r="A654" s="5"/>
      <c r="B654" s="5"/>
      <c r="C654" s="5"/>
      <c r="D654" s="5"/>
      <c r="E654" s="5"/>
      <c r="F654" s="5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8"/>
      <c r="AF654" s="8"/>
      <c r="AG654" s="8"/>
      <c r="AH654" s="8"/>
    </row>
    <row r="655" spans="1:34" ht="15.75" customHeight="1" x14ac:dyDescent="0.3">
      <c r="A655" s="5"/>
      <c r="B655" s="5"/>
      <c r="C655" s="5"/>
      <c r="D655" s="5"/>
      <c r="E655" s="5"/>
      <c r="F655" s="5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8"/>
      <c r="AF655" s="8"/>
      <c r="AG655" s="8"/>
      <c r="AH655" s="8"/>
    </row>
    <row r="656" spans="1:34" ht="15.75" customHeight="1" x14ac:dyDescent="0.3">
      <c r="A656" s="5"/>
      <c r="B656" s="5"/>
      <c r="C656" s="5"/>
      <c r="D656" s="5"/>
      <c r="E656" s="5"/>
      <c r="F656" s="5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8"/>
      <c r="AF656" s="8"/>
      <c r="AG656" s="8"/>
      <c r="AH656" s="8"/>
    </row>
    <row r="657" spans="1:34" ht="15.75" customHeight="1" x14ac:dyDescent="0.3">
      <c r="A657" s="5"/>
      <c r="B657" s="5"/>
      <c r="C657" s="5"/>
      <c r="D657" s="5"/>
      <c r="E657" s="5"/>
      <c r="F657" s="5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8"/>
      <c r="AF657" s="8"/>
      <c r="AG657" s="8"/>
      <c r="AH657" s="8"/>
    </row>
    <row r="658" spans="1:34" ht="15.75" customHeight="1" x14ac:dyDescent="0.3">
      <c r="A658" s="5"/>
      <c r="B658" s="5"/>
      <c r="C658" s="5"/>
      <c r="D658" s="5"/>
      <c r="E658" s="5"/>
      <c r="F658" s="5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8"/>
      <c r="AF658" s="8"/>
      <c r="AG658" s="8"/>
      <c r="AH658" s="8"/>
    </row>
    <row r="659" spans="1:34" ht="15.75" customHeight="1" x14ac:dyDescent="0.3">
      <c r="A659" s="5"/>
      <c r="B659" s="5"/>
      <c r="C659" s="5"/>
      <c r="D659" s="5"/>
      <c r="E659" s="5"/>
      <c r="F659" s="5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8"/>
      <c r="AF659" s="8"/>
      <c r="AG659" s="8"/>
      <c r="AH659" s="8"/>
    </row>
    <row r="660" spans="1:34" ht="15.75" customHeight="1" x14ac:dyDescent="0.3">
      <c r="A660" s="5"/>
      <c r="B660" s="5"/>
      <c r="C660" s="5"/>
      <c r="D660" s="5"/>
      <c r="E660" s="5"/>
      <c r="F660" s="5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8"/>
      <c r="AF660" s="8"/>
      <c r="AG660" s="8"/>
      <c r="AH660" s="8"/>
    </row>
    <row r="661" spans="1:34" ht="15.75" customHeight="1" x14ac:dyDescent="0.3">
      <c r="A661" s="5"/>
      <c r="B661" s="5"/>
      <c r="C661" s="5"/>
      <c r="D661" s="5"/>
      <c r="E661" s="5"/>
      <c r="F661" s="5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8"/>
      <c r="AF661" s="8"/>
      <c r="AG661" s="8"/>
      <c r="AH661" s="8"/>
    </row>
    <row r="662" spans="1:34" ht="15.75" customHeight="1" x14ac:dyDescent="0.3">
      <c r="A662" s="5"/>
      <c r="B662" s="5"/>
      <c r="C662" s="5"/>
      <c r="D662" s="5"/>
      <c r="E662" s="5"/>
      <c r="F662" s="5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8"/>
      <c r="AF662" s="8"/>
      <c r="AG662" s="8"/>
      <c r="AH662" s="8"/>
    </row>
    <row r="663" spans="1:34" ht="15.75" customHeight="1" x14ac:dyDescent="0.3">
      <c r="A663" s="5"/>
      <c r="B663" s="5"/>
      <c r="C663" s="5"/>
      <c r="D663" s="5"/>
      <c r="E663" s="5"/>
      <c r="F663" s="5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8"/>
      <c r="AF663" s="8"/>
      <c r="AG663" s="8"/>
      <c r="AH663" s="8"/>
    </row>
    <row r="664" spans="1:34" ht="15.75" customHeight="1" x14ac:dyDescent="0.3">
      <c r="A664" s="5"/>
      <c r="B664" s="5"/>
      <c r="C664" s="5"/>
      <c r="D664" s="5"/>
      <c r="E664" s="5"/>
      <c r="F664" s="5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8"/>
      <c r="AF664" s="8"/>
      <c r="AG664" s="8"/>
      <c r="AH664" s="8"/>
    </row>
    <row r="665" spans="1:34" ht="15.75" customHeight="1" x14ac:dyDescent="0.3">
      <c r="A665" s="5"/>
      <c r="B665" s="5"/>
      <c r="C665" s="5"/>
      <c r="D665" s="5"/>
      <c r="E665" s="5"/>
      <c r="F665" s="5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8"/>
      <c r="AF665" s="8"/>
      <c r="AG665" s="8"/>
      <c r="AH665" s="8"/>
    </row>
    <row r="666" spans="1:34" ht="15.75" customHeight="1" x14ac:dyDescent="0.3">
      <c r="A666" s="5"/>
      <c r="B666" s="5"/>
      <c r="C666" s="5"/>
      <c r="D666" s="5"/>
      <c r="E666" s="5"/>
      <c r="F666" s="5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8"/>
      <c r="AF666" s="8"/>
      <c r="AG666" s="8"/>
      <c r="AH666" s="8"/>
    </row>
    <row r="667" spans="1:34" ht="15.75" customHeight="1" x14ac:dyDescent="0.3">
      <c r="A667" s="5"/>
      <c r="B667" s="5"/>
      <c r="C667" s="5"/>
      <c r="D667" s="5"/>
      <c r="E667" s="5"/>
      <c r="F667" s="5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8"/>
      <c r="AF667" s="8"/>
      <c r="AG667" s="8"/>
      <c r="AH667" s="8"/>
    </row>
    <row r="668" spans="1:34" ht="15.75" customHeight="1" x14ac:dyDescent="0.3">
      <c r="A668" s="5"/>
      <c r="B668" s="5"/>
      <c r="C668" s="5"/>
      <c r="D668" s="5"/>
      <c r="E668" s="5"/>
      <c r="F668" s="5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8"/>
      <c r="AF668" s="8"/>
      <c r="AG668" s="8"/>
      <c r="AH668" s="8"/>
    </row>
    <row r="669" spans="1:34" ht="15.75" customHeight="1" x14ac:dyDescent="0.3">
      <c r="A669" s="5"/>
      <c r="B669" s="5"/>
      <c r="C669" s="5"/>
      <c r="D669" s="5"/>
      <c r="E669" s="5"/>
      <c r="F669" s="5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8"/>
      <c r="AF669" s="8"/>
      <c r="AG669" s="8"/>
      <c r="AH669" s="8"/>
    </row>
    <row r="670" spans="1:34" ht="15.75" customHeight="1" x14ac:dyDescent="0.3">
      <c r="A670" s="5"/>
      <c r="B670" s="5"/>
      <c r="C670" s="5"/>
      <c r="D670" s="5"/>
      <c r="E670" s="5"/>
      <c r="F670" s="5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8"/>
      <c r="AF670" s="8"/>
      <c r="AG670" s="8"/>
      <c r="AH670" s="8"/>
    </row>
    <row r="671" spans="1:34" ht="15.75" customHeight="1" x14ac:dyDescent="0.3">
      <c r="A671" s="5"/>
      <c r="B671" s="5"/>
      <c r="C671" s="5"/>
      <c r="D671" s="5"/>
      <c r="E671" s="5"/>
      <c r="F671" s="5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8"/>
      <c r="AF671" s="8"/>
      <c r="AG671" s="8"/>
      <c r="AH671" s="8"/>
    </row>
    <row r="672" spans="1:34" ht="15.75" customHeight="1" x14ac:dyDescent="0.3">
      <c r="A672" s="5"/>
      <c r="B672" s="5"/>
      <c r="C672" s="5"/>
      <c r="D672" s="5"/>
      <c r="E672" s="5"/>
      <c r="F672" s="5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8"/>
      <c r="AF672" s="8"/>
      <c r="AG672" s="8"/>
      <c r="AH672" s="8"/>
    </row>
    <row r="673" spans="1:34" ht="15.75" customHeight="1" x14ac:dyDescent="0.3">
      <c r="A673" s="5"/>
      <c r="B673" s="5"/>
      <c r="C673" s="5"/>
      <c r="D673" s="5"/>
      <c r="E673" s="5"/>
      <c r="F673" s="5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8"/>
      <c r="AF673" s="8"/>
      <c r="AG673" s="8"/>
      <c r="AH673" s="8"/>
    </row>
    <row r="674" spans="1:34" ht="15.75" customHeight="1" x14ac:dyDescent="0.3">
      <c r="A674" s="5"/>
      <c r="B674" s="5"/>
      <c r="C674" s="5"/>
      <c r="D674" s="5"/>
      <c r="E674" s="5"/>
      <c r="F674" s="5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8"/>
      <c r="AF674" s="8"/>
      <c r="AG674" s="8"/>
      <c r="AH674" s="8"/>
    </row>
    <row r="675" spans="1:34" ht="15.75" customHeight="1" x14ac:dyDescent="0.3">
      <c r="A675" s="5"/>
      <c r="B675" s="5"/>
      <c r="C675" s="5"/>
      <c r="D675" s="5"/>
      <c r="E675" s="5"/>
      <c r="F675" s="5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8"/>
      <c r="AF675" s="8"/>
      <c r="AG675" s="8"/>
      <c r="AH675" s="8"/>
    </row>
    <row r="676" spans="1:34" ht="15.75" customHeight="1" x14ac:dyDescent="0.3">
      <c r="A676" s="5"/>
      <c r="B676" s="5"/>
      <c r="C676" s="5"/>
      <c r="D676" s="5"/>
      <c r="E676" s="5"/>
      <c r="F676" s="5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8"/>
      <c r="AF676" s="8"/>
      <c r="AG676" s="8"/>
      <c r="AH676" s="8"/>
    </row>
    <row r="677" spans="1:34" ht="15.75" customHeight="1" x14ac:dyDescent="0.3">
      <c r="A677" s="5"/>
      <c r="B677" s="5"/>
      <c r="C677" s="5"/>
      <c r="D677" s="5"/>
      <c r="E677" s="5"/>
      <c r="F677" s="5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8"/>
      <c r="AF677" s="8"/>
      <c r="AG677" s="8"/>
      <c r="AH677" s="8"/>
    </row>
    <row r="678" spans="1:34" ht="15.75" customHeight="1" x14ac:dyDescent="0.3">
      <c r="A678" s="5"/>
      <c r="B678" s="5"/>
      <c r="C678" s="5"/>
      <c r="D678" s="5"/>
      <c r="E678" s="5"/>
      <c r="F678" s="5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8"/>
      <c r="AF678" s="8"/>
      <c r="AG678" s="8"/>
      <c r="AH678" s="8"/>
    </row>
    <row r="679" spans="1:34" ht="15.75" customHeight="1" x14ac:dyDescent="0.3">
      <c r="A679" s="5"/>
      <c r="B679" s="5"/>
      <c r="C679" s="5"/>
      <c r="D679" s="5"/>
      <c r="E679" s="5"/>
      <c r="F679" s="5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8"/>
      <c r="AF679" s="8"/>
      <c r="AG679" s="8"/>
      <c r="AH679" s="8"/>
    </row>
    <row r="680" spans="1:34" ht="15.75" customHeight="1" x14ac:dyDescent="0.3">
      <c r="A680" s="5"/>
      <c r="B680" s="5"/>
      <c r="C680" s="5"/>
      <c r="D680" s="5"/>
      <c r="E680" s="5"/>
      <c r="F680" s="5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8"/>
      <c r="AF680" s="8"/>
      <c r="AG680" s="8"/>
      <c r="AH680" s="8"/>
    </row>
    <row r="681" spans="1:34" ht="15.75" customHeight="1" x14ac:dyDescent="0.3">
      <c r="A681" s="5"/>
      <c r="B681" s="5"/>
      <c r="C681" s="5"/>
      <c r="D681" s="5"/>
      <c r="E681" s="5"/>
      <c r="F681" s="5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8"/>
      <c r="AF681" s="8"/>
      <c r="AG681" s="8"/>
      <c r="AH681" s="8"/>
    </row>
    <row r="682" spans="1:34" ht="15.75" customHeight="1" x14ac:dyDescent="0.3">
      <c r="A682" s="5"/>
      <c r="B682" s="5"/>
      <c r="C682" s="5"/>
      <c r="D682" s="5"/>
      <c r="E682" s="5"/>
      <c r="F682" s="5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8"/>
      <c r="AF682" s="8"/>
      <c r="AG682" s="8"/>
      <c r="AH682" s="8"/>
    </row>
    <row r="683" spans="1:34" ht="15.75" customHeight="1" x14ac:dyDescent="0.3">
      <c r="A683" s="5"/>
      <c r="B683" s="5"/>
      <c r="C683" s="5"/>
      <c r="D683" s="5"/>
      <c r="E683" s="5"/>
      <c r="F683" s="5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8"/>
      <c r="AF683" s="8"/>
      <c r="AG683" s="8"/>
      <c r="AH683" s="8"/>
    </row>
    <row r="684" spans="1:34" ht="15.75" customHeight="1" x14ac:dyDescent="0.3">
      <c r="A684" s="5"/>
      <c r="B684" s="5"/>
      <c r="C684" s="5"/>
      <c r="D684" s="5"/>
      <c r="E684" s="5"/>
      <c r="F684" s="5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8"/>
      <c r="AF684" s="8"/>
      <c r="AG684" s="8"/>
      <c r="AH684" s="8"/>
    </row>
    <row r="685" spans="1:34" ht="15.75" customHeight="1" x14ac:dyDescent="0.3">
      <c r="A685" s="5"/>
      <c r="B685" s="5"/>
      <c r="C685" s="5"/>
      <c r="D685" s="5"/>
      <c r="E685" s="5"/>
      <c r="F685" s="5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8"/>
      <c r="AF685" s="8"/>
      <c r="AG685" s="8"/>
      <c r="AH685" s="8"/>
    </row>
    <row r="686" spans="1:34" ht="15.75" customHeight="1" x14ac:dyDescent="0.3">
      <c r="A686" s="5"/>
      <c r="B686" s="5"/>
      <c r="C686" s="5"/>
      <c r="D686" s="5"/>
      <c r="E686" s="5"/>
      <c r="F686" s="5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8"/>
      <c r="AF686" s="8"/>
      <c r="AG686" s="8"/>
      <c r="AH686" s="8"/>
    </row>
    <row r="687" spans="1:34" ht="15.75" customHeight="1" x14ac:dyDescent="0.3">
      <c r="A687" s="5"/>
      <c r="B687" s="5"/>
      <c r="C687" s="5"/>
      <c r="D687" s="5"/>
      <c r="E687" s="5"/>
      <c r="F687" s="5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8"/>
      <c r="AF687" s="8"/>
      <c r="AG687" s="8"/>
      <c r="AH687" s="8"/>
    </row>
    <row r="688" spans="1:34" ht="15.75" customHeight="1" x14ac:dyDescent="0.3">
      <c r="A688" s="5"/>
      <c r="B688" s="5"/>
      <c r="C688" s="5"/>
      <c r="D688" s="5"/>
      <c r="E688" s="5"/>
      <c r="F688" s="5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8"/>
      <c r="AF688" s="8"/>
      <c r="AG688" s="8"/>
      <c r="AH688" s="8"/>
    </row>
    <row r="689" spans="1:34" ht="15.75" customHeight="1" x14ac:dyDescent="0.3">
      <c r="A689" s="5"/>
      <c r="B689" s="5"/>
      <c r="C689" s="5"/>
      <c r="D689" s="5"/>
      <c r="E689" s="5"/>
      <c r="F689" s="5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8"/>
      <c r="AF689" s="8"/>
      <c r="AG689" s="8"/>
      <c r="AH689" s="8"/>
    </row>
    <row r="690" spans="1:34" ht="15.75" customHeight="1" x14ac:dyDescent="0.3">
      <c r="A690" s="5"/>
      <c r="B690" s="5"/>
      <c r="C690" s="5"/>
      <c r="D690" s="5"/>
      <c r="E690" s="5"/>
      <c r="F690" s="5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8"/>
      <c r="AF690" s="8"/>
      <c r="AG690" s="8"/>
      <c r="AH690" s="8"/>
    </row>
    <row r="691" spans="1:34" ht="15.75" customHeight="1" x14ac:dyDescent="0.3">
      <c r="A691" s="5"/>
      <c r="B691" s="5"/>
      <c r="C691" s="5"/>
      <c r="D691" s="5"/>
      <c r="E691" s="5"/>
      <c r="F691" s="5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8"/>
      <c r="AF691" s="8"/>
      <c r="AG691" s="8"/>
      <c r="AH691" s="8"/>
    </row>
    <row r="692" spans="1:34" ht="15.75" customHeight="1" x14ac:dyDescent="0.3">
      <c r="A692" s="5"/>
      <c r="B692" s="5"/>
      <c r="C692" s="5"/>
      <c r="D692" s="5"/>
      <c r="E692" s="5"/>
      <c r="F692" s="5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8"/>
      <c r="AF692" s="8"/>
      <c r="AG692" s="8"/>
      <c r="AH692" s="8"/>
    </row>
    <row r="693" spans="1:34" ht="15.75" customHeight="1" x14ac:dyDescent="0.3">
      <c r="A693" s="5"/>
      <c r="B693" s="5"/>
      <c r="C693" s="5"/>
      <c r="D693" s="5"/>
      <c r="E693" s="5"/>
      <c r="F693" s="5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8"/>
      <c r="AF693" s="8"/>
      <c r="AG693" s="8"/>
      <c r="AH693" s="8"/>
    </row>
    <row r="694" spans="1:34" ht="15.75" customHeight="1" x14ac:dyDescent="0.3">
      <c r="A694" s="5"/>
      <c r="B694" s="5"/>
      <c r="C694" s="5"/>
      <c r="D694" s="5"/>
      <c r="E694" s="5"/>
      <c r="F694" s="5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8"/>
      <c r="AF694" s="8"/>
      <c r="AG694" s="8"/>
      <c r="AH694" s="8"/>
    </row>
    <row r="695" spans="1:34" ht="15.75" customHeight="1" x14ac:dyDescent="0.3">
      <c r="A695" s="5"/>
      <c r="B695" s="5"/>
      <c r="C695" s="5"/>
      <c r="D695" s="5"/>
      <c r="E695" s="5"/>
      <c r="F695" s="5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8"/>
      <c r="AF695" s="8"/>
      <c r="AG695" s="8"/>
      <c r="AH695" s="8"/>
    </row>
    <row r="696" spans="1:34" ht="15.75" customHeight="1" x14ac:dyDescent="0.3">
      <c r="A696" s="5"/>
      <c r="B696" s="5"/>
      <c r="C696" s="5"/>
      <c r="D696" s="5"/>
      <c r="E696" s="5"/>
      <c r="F696" s="5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8"/>
      <c r="AF696" s="8"/>
      <c r="AG696" s="8"/>
      <c r="AH696" s="8"/>
    </row>
    <row r="697" spans="1:34" ht="15.75" customHeight="1" x14ac:dyDescent="0.3">
      <c r="A697" s="5"/>
      <c r="B697" s="5"/>
      <c r="C697" s="5"/>
      <c r="D697" s="5"/>
      <c r="E697" s="5"/>
      <c r="F697" s="5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8"/>
      <c r="AF697" s="8"/>
      <c r="AG697" s="8"/>
      <c r="AH697" s="8"/>
    </row>
    <row r="698" spans="1:34" ht="15.75" customHeight="1" x14ac:dyDescent="0.3">
      <c r="A698" s="5"/>
      <c r="B698" s="5"/>
      <c r="C698" s="5"/>
      <c r="D698" s="5"/>
      <c r="E698" s="5"/>
      <c r="F698" s="5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8"/>
      <c r="AF698" s="8"/>
      <c r="AG698" s="8"/>
      <c r="AH698" s="8"/>
    </row>
    <row r="699" spans="1:34" ht="15.75" customHeight="1" x14ac:dyDescent="0.3">
      <c r="A699" s="5"/>
      <c r="B699" s="5"/>
      <c r="C699" s="5"/>
      <c r="D699" s="5"/>
      <c r="E699" s="5"/>
      <c r="F699" s="5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8"/>
      <c r="AF699" s="8"/>
      <c r="AG699" s="8"/>
      <c r="AH699" s="8"/>
    </row>
    <row r="700" spans="1:34" ht="15.75" customHeight="1" x14ac:dyDescent="0.3">
      <c r="A700" s="5"/>
      <c r="B700" s="5"/>
      <c r="C700" s="5"/>
      <c r="D700" s="5"/>
      <c r="E700" s="5"/>
      <c r="F700" s="5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8"/>
      <c r="AF700" s="8"/>
      <c r="AG700" s="8"/>
      <c r="AH700" s="8"/>
    </row>
    <row r="701" spans="1:34" ht="15.75" customHeight="1" x14ac:dyDescent="0.3">
      <c r="A701" s="5"/>
      <c r="B701" s="5"/>
      <c r="C701" s="5"/>
      <c r="D701" s="5"/>
      <c r="E701" s="5"/>
      <c r="F701" s="5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8"/>
      <c r="AF701" s="8"/>
      <c r="AG701" s="8"/>
      <c r="AH701" s="8"/>
    </row>
    <row r="702" spans="1:34" ht="15.75" customHeight="1" x14ac:dyDescent="0.3">
      <c r="A702" s="5"/>
      <c r="B702" s="5"/>
      <c r="C702" s="5"/>
      <c r="D702" s="5"/>
      <c r="E702" s="5"/>
      <c r="F702" s="5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8"/>
      <c r="AF702" s="8"/>
      <c r="AG702" s="8"/>
      <c r="AH702" s="8"/>
    </row>
    <row r="703" spans="1:34" ht="15.75" customHeight="1" x14ac:dyDescent="0.3">
      <c r="A703" s="5"/>
      <c r="B703" s="5"/>
      <c r="C703" s="5"/>
      <c r="D703" s="5"/>
      <c r="E703" s="5"/>
      <c r="F703" s="5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8"/>
      <c r="AF703" s="8"/>
      <c r="AG703" s="8"/>
      <c r="AH703" s="8"/>
    </row>
    <row r="704" spans="1:34" ht="15.75" customHeight="1" x14ac:dyDescent="0.3">
      <c r="A704" s="5"/>
      <c r="B704" s="5"/>
      <c r="C704" s="5"/>
      <c r="D704" s="5"/>
      <c r="E704" s="5"/>
      <c r="F704" s="5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8"/>
      <c r="AF704" s="8"/>
      <c r="AG704" s="8"/>
      <c r="AH704" s="8"/>
    </row>
    <row r="705" spans="1:34" ht="15.75" customHeight="1" x14ac:dyDescent="0.3">
      <c r="A705" s="5"/>
      <c r="B705" s="5"/>
      <c r="C705" s="5"/>
      <c r="D705" s="5"/>
      <c r="E705" s="5"/>
      <c r="F705" s="5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8"/>
      <c r="AF705" s="8"/>
      <c r="AG705" s="8"/>
      <c r="AH705" s="8"/>
    </row>
    <row r="706" spans="1:34" ht="15.75" customHeight="1" x14ac:dyDescent="0.3">
      <c r="A706" s="5"/>
      <c r="B706" s="5"/>
      <c r="C706" s="5"/>
      <c r="D706" s="5"/>
      <c r="E706" s="5"/>
      <c r="F706" s="5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8"/>
      <c r="AF706" s="8"/>
      <c r="AG706" s="8"/>
      <c r="AH706" s="8"/>
    </row>
    <row r="707" spans="1:34" ht="15.75" customHeight="1" x14ac:dyDescent="0.3">
      <c r="A707" s="5"/>
      <c r="B707" s="5"/>
      <c r="C707" s="5"/>
      <c r="D707" s="5"/>
      <c r="E707" s="5"/>
      <c r="F707" s="5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8"/>
      <c r="AF707" s="8"/>
      <c r="AG707" s="8"/>
      <c r="AH707" s="8"/>
    </row>
    <row r="708" spans="1:34" ht="15.75" customHeight="1" x14ac:dyDescent="0.3">
      <c r="A708" s="5"/>
      <c r="B708" s="5"/>
      <c r="C708" s="5"/>
      <c r="D708" s="5"/>
      <c r="E708" s="5"/>
      <c r="F708" s="5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8"/>
      <c r="AF708" s="8"/>
      <c r="AG708" s="8"/>
      <c r="AH708" s="8"/>
    </row>
    <row r="709" spans="1:34" ht="15.75" customHeight="1" x14ac:dyDescent="0.3">
      <c r="A709" s="5"/>
      <c r="B709" s="5"/>
      <c r="C709" s="5"/>
      <c r="D709" s="5"/>
      <c r="E709" s="5"/>
      <c r="F709" s="5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8"/>
      <c r="AF709" s="8"/>
      <c r="AG709" s="8"/>
      <c r="AH709" s="8"/>
    </row>
    <row r="710" spans="1:34" ht="15.75" customHeight="1" x14ac:dyDescent="0.3">
      <c r="A710" s="5"/>
      <c r="B710" s="5"/>
      <c r="C710" s="5"/>
      <c r="D710" s="5"/>
      <c r="E710" s="5"/>
      <c r="F710" s="5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8"/>
      <c r="AF710" s="8"/>
      <c r="AG710" s="8"/>
      <c r="AH710" s="8"/>
    </row>
    <row r="711" spans="1:34" ht="15.75" customHeight="1" x14ac:dyDescent="0.3">
      <c r="A711" s="5"/>
      <c r="B711" s="5"/>
      <c r="C711" s="5"/>
      <c r="D711" s="5"/>
      <c r="E711" s="5"/>
      <c r="F711" s="5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8"/>
      <c r="AF711" s="8"/>
      <c r="AG711" s="8"/>
      <c r="AH711" s="8"/>
    </row>
    <row r="712" spans="1:34" ht="15.75" customHeight="1" x14ac:dyDescent="0.3">
      <c r="A712" s="5"/>
      <c r="B712" s="5"/>
      <c r="C712" s="5"/>
      <c r="D712" s="5"/>
      <c r="E712" s="5"/>
      <c r="F712" s="5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8"/>
      <c r="AF712" s="8"/>
      <c r="AG712" s="8"/>
      <c r="AH712" s="8"/>
    </row>
    <row r="713" spans="1:34" ht="15.75" customHeight="1" x14ac:dyDescent="0.3">
      <c r="A713" s="5"/>
      <c r="B713" s="5"/>
      <c r="C713" s="5"/>
      <c r="D713" s="5"/>
      <c r="E713" s="5"/>
      <c r="F713" s="5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8"/>
      <c r="AF713" s="8"/>
      <c r="AG713" s="8"/>
      <c r="AH713" s="8"/>
    </row>
    <row r="714" spans="1:34" ht="15.75" customHeight="1" x14ac:dyDescent="0.3">
      <c r="A714" s="5"/>
      <c r="B714" s="5"/>
      <c r="C714" s="5"/>
      <c r="D714" s="5"/>
      <c r="E714" s="5"/>
      <c r="F714" s="5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8"/>
      <c r="AF714" s="8"/>
      <c r="AG714" s="8"/>
      <c r="AH714" s="8"/>
    </row>
    <row r="715" spans="1:34" ht="15.75" customHeight="1" x14ac:dyDescent="0.3">
      <c r="A715" s="5"/>
      <c r="B715" s="5"/>
      <c r="C715" s="5"/>
      <c r="D715" s="5"/>
      <c r="E715" s="5"/>
      <c r="F715" s="5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8"/>
      <c r="AF715" s="8"/>
      <c r="AG715" s="8"/>
      <c r="AH715" s="8"/>
    </row>
    <row r="716" spans="1:34" ht="15.75" customHeight="1" x14ac:dyDescent="0.3">
      <c r="A716" s="5"/>
      <c r="B716" s="5"/>
      <c r="C716" s="5"/>
      <c r="D716" s="5"/>
      <c r="E716" s="5"/>
      <c r="F716" s="5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8"/>
      <c r="AF716" s="8"/>
      <c r="AG716" s="8"/>
      <c r="AH716" s="8"/>
    </row>
    <row r="717" spans="1:34" ht="15.75" customHeight="1" x14ac:dyDescent="0.3">
      <c r="A717" s="5"/>
      <c r="B717" s="5"/>
      <c r="C717" s="5"/>
      <c r="D717" s="5"/>
      <c r="E717" s="5"/>
      <c r="F717" s="5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8"/>
      <c r="AF717" s="8"/>
      <c r="AG717" s="8"/>
      <c r="AH717" s="8"/>
    </row>
    <row r="718" spans="1:34" ht="15.75" customHeight="1" x14ac:dyDescent="0.3">
      <c r="A718" s="5"/>
      <c r="B718" s="5"/>
      <c r="C718" s="5"/>
      <c r="D718" s="5"/>
      <c r="E718" s="5"/>
      <c r="F718" s="5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8"/>
      <c r="AF718" s="8"/>
      <c r="AG718" s="8"/>
      <c r="AH718" s="8"/>
    </row>
    <row r="719" spans="1:34" ht="15.75" customHeight="1" x14ac:dyDescent="0.3">
      <c r="A719" s="5"/>
      <c r="B719" s="5"/>
      <c r="C719" s="5"/>
      <c r="D719" s="5"/>
      <c r="E719" s="5"/>
      <c r="F719" s="5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8"/>
      <c r="AF719" s="8"/>
      <c r="AG719" s="8"/>
      <c r="AH719" s="8"/>
    </row>
    <row r="720" spans="1:34" ht="15.75" customHeight="1" x14ac:dyDescent="0.3">
      <c r="A720" s="5"/>
      <c r="B720" s="5"/>
      <c r="C720" s="5"/>
      <c r="D720" s="5"/>
      <c r="E720" s="5"/>
      <c r="F720" s="5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8"/>
      <c r="AF720" s="8"/>
      <c r="AG720" s="8"/>
      <c r="AH720" s="8"/>
    </row>
    <row r="721" spans="1:34" ht="15.75" customHeight="1" x14ac:dyDescent="0.3">
      <c r="A721" s="5"/>
      <c r="B721" s="5"/>
      <c r="C721" s="5"/>
      <c r="D721" s="5"/>
      <c r="E721" s="5"/>
      <c r="F721" s="5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8"/>
      <c r="AF721" s="8"/>
      <c r="AG721" s="8"/>
      <c r="AH721" s="8"/>
    </row>
    <row r="722" spans="1:34" ht="15.75" customHeight="1" x14ac:dyDescent="0.3">
      <c r="A722" s="5"/>
      <c r="B722" s="5"/>
      <c r="C722" s="5"/>
      <c r="D722" s="5"/>
      <c r="E722" s="5"/>
      <c r="F722" s="5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8"/>
      <c r="AF722" s="8"/>
      <c r="AG722" s="8"/>
      <c r="AH722" s="8"/>
    </row>
    <row r="723" spans="1:34" ht="15.75" customHeight="1" x14ac:dyDescent="0.3">
      <c r="A723" s="5"/>
      <c r="B723" s="5"/>
      <c r="C723" s="5"/>
      <c r="D723" s="5"/>
      <c r="E723" s="5"/>
      <c r="F723" s="5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8"/>
      <c r="AF723" s="8"/>
      <c r="AG723" s="8"/>
      <c r="AH723" s="8"/>
    </row>
    <row r="724" spans="1:34" ht="15.75" customHeight="1" x14ac:dyDescent="0.3">
      <c r="A724" s="5"/>
      <c r="B724" s="5"/>
      <c r="C724" s="5"/>
      <c r="D724" s="5"/>
      <c r="E724" s="5"/>
      <c r="F724" s="5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8"/>
      <c r="AF724" s="8"/>
      <c r="AG724" s="8"/>
      <c r="AH724" s="8"/>
    </row>
    <row r="725" spans="1:34" ht="15.75" customHeight="1" x14ac:dyDescent="0.3">
      <c r="A725" s="5"/>
      <c r="B725" s="5"/>
      <c r="C725" s="5"/>
      <c r="D725" s="5"/>
      <c r="E725" s="5"/>
      <c r="F725" s="5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8"/>
      <c r="AF725" s="8"/>
      <c r="AG725" s="8"/>
      <c r="AH725" s="8"/>
    </row>
    <row r="726" spans="1:34" ht="15.75" customHeight="1" x14ac:dyDescent="0.3">
      <c r="A726" s="5"/>
      <c r="B726" s="5"/>
      <c r="C726" s="5"/>
      <c r="D726" s="5"/>
      <c r="E726" s="5"/>
      <c r="F726" s="5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8"/>
      <c r="AF726" s="8"/>
      <c r="AG726" s="8"/>
      <c r="AH726" s="8"/>
    </row>
    <row r="727" spans="1:34" ht="15.75" customHeight="1" x14ac:dyDescent="0.3">
      <c r="A727" s="5"/>
      <c r="B727" s="5"/>
      <c r="C727" s="5"/>
      <c r="D727" s="5"/>
      <c r="E727" s="5"/>
      <c r="F727" s="5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8"/>
      <c r="AF727" s="8"/>
      <c r="AG727" s="8"/>
      <c r="AH727" s="8"/>
    </row>
    <row r="728" spans="1:34" ht="15.75" customHeight="1" x14ac:dyDescent="0.3">
      <c r="A728" s="5"/>
      <c r="B728" s="5"/>
      <c r="C728" s="5"/>
      <c r="D728" s="5"/>
      <c r="E728" s="5"/>
      <c r="F728" s="5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8"/>
      <c r="AF728" s="8"/>
      <c r="AG728" s="8"/>
      <c r="AH728" s="8"/>
    </row>
    <row r="729" spans="1:34" ht="15.75" customHeight="1" x14ac:dyDescent="0.3">
      <c r="A729" s="5"/>
      <c r="B729" s="5"/>
      <c r="C729" s="5"/>
      <c r="D729" s="5"/>
      <c r="E729" s="5"/>
      <c r="F729" s="5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8"/>
      <c r="AF729" s="8"/>
      <c r="AG729" s="8"/>
      <c r="AH729" s="8"/>
    </row>
    <row r="730" spans="1:34" ht="15.75" customHeight="1" x14ac:dyDescent="0.3">
      <c r="A730" s="5"/>
      <c r="B730" s="5"/>
      <c r="C730" s="5"/>
      <c r="D730" s="5"/>
      <c r="E730" s="5"/>
      <c r="F730" s="5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8"/>
      <c r="AF730" s="8"/>
      <c r="AG730" s="8"/>
      <c r="AH730" s="8"/>
    </row>
    <row r="731" spans="1:34" ht="15.75" customHeight="1" x14ac:dyDescent="0.3">
      <c r="A731" s="5"/>
      <c r="B731" s="5"/>
      <c r="C731" s="5"/>
      <c r="D731" s="5"/>
      <c r="E731" s="5"/>
      <c r="F731" s="5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8"/>
      <c r="AF731" s="8"/>
      <c r="AG731" s="8"/>
      <c r="AH731" s="8"/>
    </row>
    <row r="732" spans="1:34" ht="15.75" customHeight="1" x14ac:dyDescent="0.3">
      <c r="A732" s="5"/>
      <c r="B732" s="5"/>
      <c r="C732" s="5"/>
      <c r="D732" s="5"/>
      <c r="E732" s="5"/>
      <c r="F732" s="5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8"/>
      <c r="AF732" s="8"/>
      <c r="AG732" s="8"/>
      <c r="AH732" s="8"/>
    </row>
    <row r="733" spans="1:34" ht="15.75" customHeight="1" x14ac:dyDescent="0.3">
      <c r="A733" s="5"/>
      <c r="B733" s="5"/>
      <c r="C733" s="5"/>
      <c r="D733" s="5"/>
      <c r="E733" s="5"/>
      <c r="F733" s="5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8"/>
      <c r="AF733" s="8"/>
      <c r="AG733" s="8"/>
      <c r="AH733" s="8"/>
    </row>
    <row r="734" spans="1:34" ht="15.75" customHeight="1" x14ac:dyDescent="0.3">
      <c r="A734" s="5"/>
      <c r="B734" s="5"/>
      <c r="C734" s="5"/>
      <c r="D734" s="5"/>
      <c r="E734" s="5"/>
      <c r="F734" s="5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8"/>
      <c r="AF734" s="8"/>
      <c r="AG734" s="8"/>
      <c r="AH734" s="8"/>
    </row>
    <row r="735" spans="1:34" ht="15.75" customHeight="1" x14ac:dyDescent="0.3">
      <c r="A735" s="5"/>
      <c r="B735" s="5"/>
      <c r="C735" s="5"/>
      <c r="D735" s="5"/>
      <c r="E735" s="5"/>
      <c r="F735" s="5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8"/>
      <c r="AF735" s="8"/>
      <c r="AG735" s="8"/>
      <c r="AH735" s="8"/>
    </row>
    <row r="736" spans="1:34" ht="15.75" customHeight="1" x14ac:dyDescent="0.3">
      <c r="A736" s="5"/>
      <c r="B736" s="5"/>
      <c r="C736" s="5"/>
      <c r="D736" s="5"/>
      <c r="E736" s="5"/>
      <c r="F736" s="5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8"/>
      <c r="AF736" s="8"/>
      <c r="AG736" s="8"/>
      <c r="AH736" s="8"/>
    </row>
    <row r="737" spans="1:34" ht="15.75" customHeight="1" x14ac:dyDescent="0.3">
      <c r="A737" s="5"/>
      <c r="B737" s="5"/>
      <c r="C737" s="5"/>
      <c r="D737" s="5"/>
      <c r="E737" s="5"/>
      <c r="F737" s="5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8"/>
      <c r="AF737" s="8"/>
      <c r="AG737" s="8"/>
      <c r="AH737" s="8"/>
    </row>
    <row r="738" spans="1:34" ht="15.75" customHeight="1" x14ac:dyDescent="0.3">
      <c r="A738" s="5"/>
      <c r="B738" s="5"/>
      <c r="C738" s="5"/>
      <c r="D738" s="5"/>
      <c r="E738" s="5"/>
      <c r="F738" s="5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8"/>
      <c r="AF738" s="8"/>
      <c r="AG738" s="8"/>
      <c r="AH738" s="8"/>
    </row>
    <row r="739" spans="1:34" ht="15.75" customHeight="1" x14ac:dyDescent="0.3">
      <c r="A739" s="5"/>
      <c r="B739" s="5"/>
      <c r="C739" s="5"/>
      <c r="D739" s="5"/>
      <c r="E739" s="5"/>
      <c r="F739" s="5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8"/>
      <c r="AF739" s="8"/>
      <c r="AG739" s="8"/>
      <c r="AH739" s="8"/>
    </row>
    <row r="740" spans="1:34" ht="15.75" customHeight="1" x14ac:dyDescent="0.3">
      <c r="A740" s="5"/>
      <c r="B740" s="5"/>
      <c r="C740" s="5"/>
      <c r="D740" s="5"/>
      <c r="E740" s="5"/>
      <c r="F740" s="5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8"/>
      <c r="AF740" s="8"/>
      <c r="AG740" s="8"/>
      <c r="AH740" s="8"/>
    </row>
    <row r="741" spans="1:34" ht="15.75" customHeight="1" x14ac:dyDescent="0.3">
      <c r="A741" s="5"/>
      <c r="B741" s="5"/>
      <c r="C741" s="5"/>
      <c r="D741" s="5"/>
      <c r="E741" s="5"/>
      <c r="F741" s="5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8"/>
      <c r="AF741" s="8"/>
      <c r="AG741" s="8"/>
      <c r="AH741" s="8"/>
    </row>
    <row r="742" spans="1:34" ht="15.75" customHeight="1" x14ac:dyDescent="0.3">
      <c r="A742" s="5"/>
      <c r="B742" s="5"/>
      <c r="C742" s="5"/>
      <c r="D742" s="5"/>
      <c r="E742" s="5"/>
      <c r="F742" s="5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8"/>
      <c r="AF742" s="8"/>
      <c r="AG742" s="8"/>
      <c r="AH742" s="8"/>
    </row>
    <row r="743" spans="1:34" ht="15.75" customHeight="1" x14ac:dyDescent="0.3">
      <c r="A743" s="5"/>
      <c r="B743" s="5"/>
      <c r="C743" s="5"/>
      <c r="D743" s="5"/>
      <c r="E743" s="5"/>
      <c r="F743" s="5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8"/>
      <c r="AF743" s="8"/>
      <c r="AG743" s="8"/>
      <c r="AH743" s="8"/>
    </row>
    <row r="744" spans="1:34" ht="15.75" customHeight="1" x14ac:dyDescent="0.3">
      <c r="A744" s="5"/>
      <c r="B744" s="5"/>
      <c r="C744" s="5"/>
      <c r="D744" s="5"/>
      <c r="E744" s="5"/>
      <c r="F744" s="5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8"/>
      <c r="AF744" s="8"/>
      <c r="AG744" s="8"/>
      <c r="AH744" s="8"/>
    </row>
    <row r="745" spans="1:34" ht="15.75" customHeight="1" x14ac:dyDescent="0.3">
      <c r="A745" s="5"/>
      <c r="B745" s="5"/>
      <c r="C745" s="5"/>
      <c r="D745" s="5"/>
      <c r="E745" s="5"/>
      <c r="F745" s="5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8"/>
      <c r="AF745" s="8"/>
      <c r="AG745" s="8"/>
      <c r="AH745" s="8"/>
    </row>
    <row r="746" spans="1:34" ht="15.75" customHeight="1" x14ac:dyDescent="0.3">
      <c r="A746" s="5"/>
      <c r="B746" s="5"/>
      <c r="C746" s="5"/>
      <c r="D746" s="5"/>
      <c r="E746" s="5"/>
      <c r="F746" s="5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8"/>
      <c r="AF746" s="8"/>
      <c r="AG746" s="8"/>
      <c r="AH746" s="8"/>
    </row>
    <row r="747" spans="1:34" ht="15.75" customHeight="1" x14ac:dyDescent="0.3">
      <c r="A747" s="5"/>
      <c r="B747" s="5"/>
      <c r="C747" s="5"/>
      <c r="D747" s="5"/>
      <c r="E747" s="5"/>
      <c r="F747" s="5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8"/>
      <c r="AF747" s="8"/>
      <c r="AG747" s="8"/>
      <c r="AH747" s="8"/>
    </row>
    <row r="748" spans="1:34" ht="15.75" customHeight="1" x14ac:dyDescent="0.3">
      <c r="A748" s="5"/>
      <c r="B748" s="5"/>
      <c r="C748" s="5"/>
      <c r="D748" s="5"/>
      <c r="E748" s="5"/>
      <c r="F748" s="5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8"/>
      <c r="AF748" s="8"/>
      <c r="AG748" s="8"/>
      <c r="AH748" s="8"/>
    </row>
    <row r="749" spans="1:34" ht="15.75" customHeight="1" x14ac:dyDescent="0.3">
      <c r="A749" s="5"/>
      <c r="B749" s="5"/>
      <c r="C749" s="5"/>
      <c r="D749" s="5"/>
      <c r="E749" s="5"/>
      <c r="F749" s="5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8"/>
      <c r="AF749" s="8"/>
      <c r="AG749" s="8"/>
      <c r="AH749" s="8"/>
    </row>
    <row r="750" spans="1:34" ht="15.75" customHeight="1" x14ac:dyDescent="0.3">
      <c r="A750" s="5"/>
      <c r="B750" s="5"/>
      <c r="C750" s="5"/>
      <c r="D750" s="5"/>
      <c r="E750" s="5"/>
      <c r="F750" s="5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8"/>
      <c r="AF750" s="8"/>
      <c r="AG750" s="8"/>
      <c r="AH750" s="8"/>
    </row>
    <row r="751" spans="1:34" ht="15.75" customHeight="1" x14ac:dyDescent="0.3">
      <c r="A751" s="5"/>
      <c r="B751" s="5"/>
      <c r="C751" s="5"/>
      <c r="D751" s="5"/>
      <c r="E751" s="5"/>
      <c r="F751" s="5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8"/>
      <c r="AF751" s="8"/>
      <c r="AG751" s="8"/>
      <c r="AH751" s="8"/>
    </row>
    <row r="752" spans="1:34" ht="15.75" customHeight="1" x14ac:dyDescent="0.3">
      <c r="A752" s="5"/>
      <c r="B752" s="5"/>
      <c r="C752" s="5"/>
      <c r="D752" s="5"/>
      <c r="E752" s="5"/>
      <c r="F752" s="5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8"/>
      <c r="AF752" s="8"/>
      <c r="AG752" s="8"/>
      <c r="AH752" s="8"/>
    </row>
    <row r="753" spans="1:34" ht="15.75" customHeight="1" x14ac:dyDescent="0.3">
      <c r="A753" s="5"/>
      <c r="B753" s="5"/>
      <c r="C753" s="5"/>
      <c r="D753" s="5"/>
      <c r="E753" s="5"/>
      <c r="F753" s="5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8"/>
      <c r="AF753" s="8"/>
      <c r="AG753" s="8"/>
      <c r="AH753" s="8"/>
    </row>
    <row r="754" spans="1:34" ht="15.75" customHeight="1" x14ac:dyDescent="0.3">
      <c r="A754" s="5"/>
      <c r="B754" s="5"/>
      <c r="C754" s="5"/>
      <c r="D754" s="5"/>
      <c r="E754" s="5"/>
      <c r="F754" s="5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8"/>
      <c r="AF754" s="8"/>
      <c r="AG754" s="8"/>
      <c r="AH754" s="8"/>
    </row>
    <row r="755" spans="1:34" ht="15.75" customHeight="1" x14ac:dyDescent="0.3">
      <c r="A755" s="5"/>
      <c r="B755" s="5"/>
      <c r="C755" s="5"/>
      <c r="D755" s="5"/>
      <c r="E755" s="5"/>
      <c r="F755" s="5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8"/>
      <c r="AF755" s="8"/>
      <c r="AG755" s="8"/>
      <c r="AH755" s="8"/>
    </row>
    <row r="756" spans="1:34" ht="15.75" customHeight="1" x14ac:dyDescent="0.3">
      <c r="A756" s="5"/>
      <c r="B756" s="5"/>
      <c r="C756" s="5"/>
      <c r="D756" s="5"/>
      <c r="E756" s="5"/>
      <c r="F756" s="5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8"/>
      <c r="AF756" s="8"/>
      <c r="AG756" s="8"/>
      <c r="AH756" s="8"/>
    </row>
    <row r="757" spans="1:34" ht="15.75" customHeight="1" x14ac:dyDescent="0.3">
      <c r="A757" s="5"/>
      <c r="B757" s="5"/>
      <c r="C757" s="5"/>
      <c r="D757" s="5"/>
      <c r="E757" s="5"/>
      <c r="F757" s="5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8"/>
      <c r="AF757" s="8"/>
      <c r="AG757" s="8"/>
      <c r="AH757" s="8"/>
    </row>
    <row r="758" spans="1:34" ht="15.75" customHeight="1" x14ac:dyDescent="0.3">
      <c r="A758" s="5"/>
      <c r="B758" s="5"/>
      <c r="C758" s="5"/>
      <c r="D758" s="5"/>
      <c r="E758" s="5"/>
      <c r="F758" s="5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8"/>
      <c r="AF758" s="8"/>
      <c r="AG758" s="8"/>
      <c r="AH758" s="8"/>
    </row>
    <row r="759" spans="1:34" ht="15.75" customHeight="1" x14ac:dyDescent="0.3">
      <c r="A759" s="5"/>
      <c r="B759" s="5"/>
      <c r="C759" s="5"/>
      <c r="D759" s="5"/>
      <c r="E759" s="5"/>
      <c r="F759" s="5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8"/>
      <c r="AF759" s="8"/>
      <c r="AG759" s="8"/>
      <c r="AH759" s="8"/>
    </row>
    <row r="760" spans="1:34" ht="15.75" customHeight="1" x14ac:dyDescent="0.3">
      <c r="A760" s="5"/>
      <c r="B760" s="5"/>
      <c r="C760" s="5"/>
      <c r="D760" s="5"/>
      <c r="E760" s="5"/>
      <c r="F760" s="5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8"/>
      <c r="AF760" s="8"/>
      <c r="AG760" s="8"/>
      <c r="AH760" s="8"/>
    </row>
    <row r="761" spans="1:34" ht="15.75" customHeight="1" x14ac:dyDescent="0.3">
      <c r="A761" s="5"/>
      <c r="B761" s="5"/>
      <c r="C761" s="5"/>
      <c r="D761" s="5"/>
      <c r="E761" s="5"/>
      <c r="F761" s="5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8"/>
      <c r="AF761" s="8"/>
      <c r="AG761" s="8"/>
      <c r="AH761" s="8"/>
    </row>
    <row r="762" spans="1:34" ht="15.75" customHeight="1" x14ac:dyDescent="0.3">
      <c r="A762" s="5"/>
      <c r="B762" s="5"/>
      <c r="C762" s="5"/>
      <c r="D762" s="5"/>
      <c r="E762" s="5"/>
      <c r="F762" s="5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8"/>
      <c r="AF762" s="8"/>
      <c r="AG762" s="8"/>
      <c r="AH762" s="8"/>
    </row>
    <row r="763" spans="1:34" ht="15.75" customHeight="1" x14ac:dyDescent="0.3">
      <c r="A763" s="5"/>
      <c r="B763" s="5"/>
      <c r="C763" s="5"/>
      <c r="D763" s="5"/>
      <c r="E763" s="5"/>
      <c r="F763" s="5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8"/>
      <c r="AF763" s="8"/>
      <c r="AG763" s="8"/>
      <c r="AH763" s="8"/>
    </row>
    <row r="764" spans="1:34" ht="15.75" customHeight="1" x14ac:dyDescent="0.3">
      <c r="A764" s="5"/>
      <c r="B764" s="5"/>
      <c r="C764" s="5"/>
      <c r="D764" s="5"/>
      <c r="E764" s="5"/>
      <c r="F764" s="5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8"/>
      <c r="AF764" s="8"/>
      <c r="AG764" s="8"/>
      <c r="AH764" s="8"/>
    </row>
    <row r="765" spans="1:34" ht="15.75" customHeight="1" x14ac:dyDescent="0.3">
      <c r="A765" s="5"/>
      <c r="B765" s="5"/>
      <c r="C765" s="5"/>
      <c r="D765" s="5"/>
      <c r="E765" s="5"/>
      <c r="F765" s="5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8"/>
      <c r="AF765" s="8"/>
      <c r="AG765" s="8"/>
      <c r="AH765" s="8"/>
    </row>
    <row r="766" spans="1:34" ht="15.75" customHeight="1" x14ac:dyDescent="0.3">
      <c r="A766" s="5"/>
      <c r="B766" s="5"/>
      <c r="C766" s="5"/>
      <c r="D766" s="5"/>
      <c r="E766" s="5"/>
      <c r="F766" s="5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8"/>
      <c r="AF766" s="8"/>
      <c r="AG766" s="8"/>
      <c r="AH766" s="8"/>
    </row>
    <row r="767" spans="1:34" ht="15.75" customHeight="1" x14ac:dyDescent="0.3">
      <c r="A767" s="5"/>
      <c r="B767" s="5"/>
      <c r="C767" s="5"/>
      <c r="D767" s="5"/>
      <c r="E767" s="5"/>
      <c r="F767" s="5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8"/>
      <c r="AF767" s="8"/>
      <c r="AG767" s="8"/>
      <c r="AH767" s="8"/>
    </row>
    <row r="768" spans="1:34" ht="15.75" customHeight="1" x14ac:dyDescent="0.3">
      <c r="A768" s="5"/>
      <c r="B768" s="5"/>
      <c r="C768" s="5"/>
      <c r="D768" s="5"/>
      <c r="E768" s="5"/>
      <c r="F768" s="5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8"/>
      <c r="AF768" s="8"/>
      <c r="AG768" s="8"/>
      <c r="AH768" s="8"/>
    </row>
    <row r="769" spans="1:34" ht="15.75" customHeight="1" x14ac:dyDescent="0.3">
      <c r="A769" s="5"/>
      <c r="B769" s="5"/>
      <c r="C769" s="5"/>
      <c r="D769" s="5"/>
      <c r="E769" s="5"/>
      <c r="F769" s="5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8"/>
      <c r="AF769" s="8"/>
      <c r="AG769" s="8"/>
      <c r="AH769" s="8"/>
    </row>
    <row r="770" spans="1:34" ht="15.75" customHeight="1" x14ac:dyDescent="0.3">
      <c r="A770" s="5"/>
      <c r="B770" s="5"/>
      <c r="C770" s="5"/>
      <c r="D770" s="5"/>
      <c r="E770" s="5"/>
      <c r="F770" s="5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8"/>
      <c r="AF770" s="8"/>
      <c r="AG770" s="8"/>
      <c r="AH770" s="8"/>
    </row>
    <row r="771" spans="1:34" ht="15.75" customHeight="1" x14ac:dyDescent="0.3">
      <c r="A771" s="5"/>
      <c r="B771" s="5"/>
      <c r="C771" s="5"/>
      <c r="D771" s="5"/>
      <c r="E771" s="5"/>
      <c r="F771" s="5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8"/>
      <c r="AF771" s="8"/>
      <c r="AG771" s="8"/>
      <c r="AH771" s="8"/>
    </row>
    <row r="772" spans="1:34" ht="15.75" customHeight="1" x14ac:dyDescent="0.3">
      <c r="A772" s="5"/>
      <c r="B772" s="5"/>
      <c r="C772" s="5"/>
      <c r="D772" s="5"/>
      <c r="E772" s="5"/>
      <c r="F772" s="5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8"/>
      <c r="AF772" s="8"/>
      <c r="AG772" s="8"/>
      <c r="AH772" s="8"/>
    </row>
    <row r="773" spans="1:34" ht="15.75" customHeight="1" x14ac:dyDescent="0.3">
      <c r="A773" s="5"/>
      <c r="B773" s="5"/>
      <c r="C773" s="5"/>
      <c r="D773" s="5"/>
      <c r="E773" s="5"/>
      <c r="F773" s="5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8"/>
      <c r="AF773" s="8"/>
      <c r="AG773" s="8"/>
      <c r="AH773" s="8"/>
    </row>
    <row r="774" spans="1:34" ht="15.75" customHeight="1" x14ac:dyDescent="0.3">
      <c r="A774" s="5"/>
      <c r="B774" s="5"/>
      <c r="C774" s="5"/>
      <c r="D774" s="5"/>
      <c r="E774" s="5"/>
      <c r="F774" s="5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8"/>
      <c r="AF774" s="8"/>
      <c r="AG774" s="8"/>
      <c r="AH774" s="8"/>
    </row>
    <row r="775" spans="1:34" ht="15.75" customHeight="1" x14ac:dyDescent="0.3">
      <c r="A775" s="5"/>
      <c r="B775" s="5"/>
      <c r="C775" s="5"/>
      <c r="D775" s="5"/>
      <c r="E775" s="5"/>
      <c r="F775" s="5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8"/>
      <c r="AF775" s="8"/>
      <c r="AG775" s="8"/>
      <c r="AH775" s="8"/>
    </row>
    <row r="776" spans="1:34" ht="15.75" customHeight="1" x14ac:dyDescent="0.3">
      <c r="A776" s="5"/>
      <c r="B776" s="5"/>
      <c r="C776" s="5"/>
      <c r="D776" s="5"/>
      <c r="E776" s="5"/>
      <c r="F776" s="5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8"/>
      <c r="AF776" s="8"/>
      <c r="AG776" s="8"/>
      <c r="AH776" s="8"/>
    </row>
    <row r="777" spans="1:34" ht="15.75" customHeight="1" x14ac:dyDescent="0.3">
      <c r="A777" s="5"/>
      <c r="B777" s="5"/>
      <c r="C777" s="5"/>
      <c r="D777" s="5"/>
      <c r="E777" s="5"/>
      <c r="F777" s="5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8"/>
      <c r="AF777" s="8"/>
      <c r="AG777" s="8"/>
      <c r="AH777" s="8"/>
    </row>
    <row r="778" spans="1:34" ht="15.75" customHeight="1" x14ac:dyDescent="0.3">
      <c r="A778" s="5"/>
      <c r="B778" s="5"/>
      <c r="C778" s="5"/>
      <c r="D778" s="5"/>
      <c r="E778" s="5"/>
      <c r="F778" s="5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8"/>
      <c r="AF778" s="8"/>
      <c r="AG778" s="8"/>
      <c r="AH778" s="8"/>
    </row>
    <row r="779" spans="1:34" ht="15.75" customHeight="1" x14ac:dyDescent="0.3">
      <c r="A779" s="5"/>
      <c r="B779" s="5"/>
      <c r="C779" s="5"/>
      <c r="D779" s="5"/>
      <c r="E779" s="5"/>
      <c r="F779" s="5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8"/>
      <c r="AF779" s="8"/>
      <c r="AG779" s="8"/>
      <c r="AH779" s="8"/>
    </row>
    <row r="780" spans="1:34" ht="15.75" customHeight="1" x14ac:dyDescent="0.3">
      <c r="A780" s="5"/>
      <c r="B780" s="5"/>
      <c r="C780" s="5"/>
      <c r="D780" s="5"/>
      <c r="E780" s="5"/>
      <c r="F780" s="5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8"/>
      <c r="AF780" s="8"/>
      <c r="AG780" s="8"/>
      <c r="AH780" s="8"/>
    </row>
    <row r="781" spans="1:34" ht="15.75" customHeight="1" x14ac:dyDescent="0.3">
      <c r="A781" s="5"/>
      <c r="B781" s="5"/>
      <c r="C781" s="5"/>
      <c r="D781" s="5"/>
      <c r="E781" s="5"/>
      <c r="F781" s="5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8"/>
      <c r="AF781" s="8"/>
      <c r="AG781" s="8"/>
      <c r="AH781" s="8"/>
    </row>
    <row r="782" spans="1:34" ht="15.75" customHeight="1" x14ac:dyDescent="0.3">
      <c r="A782" s="5"/>
      <c r="B782" s="5"/>
      <c r="C782" s="5"/>
      <c r="D782" s="5"/>
      <c r="E782" s="5"/>
      <c r="F782" s="5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8"/>
      <c r="AF782" s="8"/>
      <c r="AG782" s="8"/>
      <c r="AH782" s="8"/>
    </row>
    <row r="783" spans="1:34" ht="15.75" customHeight="1" x14ac:dyDescent="0.3">
      <c r="A783" s="5"/>
      <c r="B783" s="5"/>
      <c r="C783" s="5"/>
      <c r="D783" s="5"/>
      <c r="E783" s="5"/>
      <c r="F783" s="5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8"/>
      <c r="AF783" s="8"/>
      <c r="AG783" s="8"/>
      <c r="AH783" s="8"/>
    </row>
    <row r="784" spans="1:34" ht="15.75" customHeight="1" x14ac:dyDescent="0.3">
      <c r="A784" s="5"/>
      <c r="B784" s="5"/>
      <c r="C784" s="5"/>
      <c r="D784" s="5"/>
      <c r="E784" s="5"/>
      <c r="F784" s="5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8"/>
      <c r="AF784" s="8"/>
      <c r="AG784" s="8"/>
      <c r="AH784" s="8"/>
    </row>
    <row r="785" spans="1:34" ht="15.75" customHeight="1" x14ac:dyDescent="0.3">
      <c r="A785" s="5"/>
      <c r="B785" s="5"/>
      <c r="C785" s="5"/>
      <c r="D785" s="5"/>
      <c r="E785" s="5"/>
      <c r="F785" s="5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8"/>
      <c r="AF785" s="8"/>
      <c r="AG785" s="8"/>
      <c r="AH785" s="8"/>
    </row>
    <row r="786" spans="1:34" ht="15.75" customHeight="1" x14ac:dyDescent="0.3">
      <c r="A786" s="5"/>
      <c r="B786" s="5"/>
      <c r="C786" s="5"/>
      <c r="D786" s="5"/>
      <c r="E786" s="5"/>
      <c r="F786" s="5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8"/>
      <c r="AF786" s="8"/>
      <c r="AG786" s="8"/>
      <c r="AH786" s="8"/>
    </row>
    <row r="787" spans="1:34" ht="15.75" customHeight="1" x14ac:dyDescent="0.3">
      <c r="A787" s="5"/>
      <c r="B787" s="5"/>
      <c r="C787" s="5"/>
      <c r="D787" s="5"/>
      <c r="E787" s="5"/>
      <c r="F787" s="5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8"/>
      <c r="AF787" s="8"/>
      <c r="AG787" s="8"/>
      <c r="AH787" s="8"/>
    </row>
    <row r="788" spans="1:34" ht="15.75" customHeight="1" x14ac:dyDescent="0.3">
      <c r="A788" s="5"/>
      <c r="B788" s="5"/>
      <c r="C788" s="5"/>
      <c r="D788" s="5"/>
      <c r="E788" s="5"/>
      <c r="F788" s="5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8"/>
      <c r="AF788" s="8"/>
      <c r="AG788" s="8"/>
      <c r="AH788" s="8"/>
    </row>
    <row r="789" spans="1:34" ht="15.75" customHeight="1" x14ac:dyDescent="0.3">
      <c r="A789" s="5"/>
      <c r="B789" s="5"/>
      <c r="C789" s="5"/>
      <c r="D789" s="5"/>
      <c r="E789" s="5"/>
      <c r="F789" s="5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8"/>
      <c r="AF789" s="8"/>
      <c r="AG789" s="8"/>
      <c r="AH789" s="8"/>
    </row>
    <row r="790" spans="1:34" ht="15.75" customHeight="1" x14ac:dyDescent="0.3">
      <c r="A790" s="5"/>
      <c r="B790" s="5"/>
      <c r="C790" s="5"/>
      <c r="D790" s="5"/>
      <c r="E790" s="5"/>
      <c r="F790" s="5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8"/>
      <c r="AF790" s="8"/>
      <c r="AG790" s="8"/>
      <c r="AH790" s="8"/>
    </row>
    <row r="791" spans="1:34" ht="15.75" customHeight="1" x14ac:dyDescent="0.3">
      <c r="A791" s="5"/>
      <c r="B791" s="5"/>
      <c r="C791" s="5"/>
      <c r="D791" s="5"/>
      <c r="E791" s="5"/>
      <c r="F791" s="5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8"/>
      <c r="AF791" s="8"/>
      <c r="AG791" s="8"/>
      <c r="AH791" s="8"/>
    </row>
    <row r="792" spans="1:34" ht="15.75" customHeight="1" x14ac:dyDescent="0.3">
      <c r="A792" s="5"/>
      <c r="B792" s="5"/>
      <c r="C792" s="5"/>
      <c r="D792" s="5"/>
      <c r="E792" s="5"/>
      <c r="F792" s="5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8"/>
      <c r="AF792" s="8"/>
      <c r="AG792" s="8"/>
      <c r="AH792" s="8"/>
    </row>
    <row r="793" spans="1:34" ht="15.75" customHeight="1" x14ac:dyDescent="0.3">
      <c r="A793" s="5"/>
      <c r="B793" s="5"/>
      <c r="C793" s="5"/>
      <c r="D793" s="5"/>
      <c r="E793" s="5"/>
      <c r="F793" s="5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8"/>
      <c r="AF793" s="8"/>
      <c r="AG793" s="8"/>
      <c r="AH793" s="8"/>
    </row>
    <row r="794" spans="1:34" ht="15.75" customHeight="1" x14ac:dyDescent="0.3">
      <c r="A794" s="5"/>
      <c r="B794" s="5"/>
      <c r="C794" s="5"/>
      <c r="D794" s="5"/>
      <c r="E794" s="5"/>
      <c r="F794" s="5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8"/>
      <c r="AF794" s="8"/>
      <c r="AG794" s="8"/>
      <c r="AH794" s="8"/>
    </row>
    <row r="795" spans="1:34" ht="15.75" customHeight="1" x14ac:dyDescent="0.3">
      <c r="A795" s="5"/>
      <c r="B795" s="5"/>
      <c r="C795" s="5"/>
      <c r="D795" s="5"/>
      <c r="E795" s="5"/>
      <c r="F795" s="5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8"/>
      <c r="AF795" s="8"/>
      <c r="AG795" s="8"/>
      <c r="AH795" s="8"/>
    </row>
    <row r="796" spans="1:34" ht="15.75" customHeight="1" x14ac:dyDescent="0.3">
      <c r="A796" s="5"/>
      <c r="B796" s="5"/>
      <c r="C796" s="5"/>
      <c r="D796" s="5"/>
      <c r="E796" s="5"/>
      <c r="F796" s="5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8"/>
      <c r="AF796" s="8"/>
      <c r="AG796" s="8"/>
      <c r="AH796" s="8"/>
    </row>
    <row r="797" spans="1:34" ht="15.75" customHeight="1" x14ac:dyDescent="0.3">
      <c r="A797" s="5"/>
      <c r="B797" s="5"/>
      <c r="C797" s="5"/>
      <c r="D797" s="5"/>
      <c r="E797" s="5"/>
      <c r="F797" s="5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8"/>
      <c r="AF797" s="8"/>
      <c r="AG797" s="8"/>
      <c r="AH797" s="8"/>
    </row>
    <row r="798" spans="1:34" ht="15.75" customHeight="1" x14ac:dyDescent="0.3">
      <c r="A798" s="5"/>
      <c r="B798" s="5"/>
      <c r="C798" s="5"/>
      <c r="D798" s="5"/>
      <c r="E798" s="5"/>
      <c r="F798" s="5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8"/>
      <c r="AF798" s="8"/>
      <c r="AG798" s="8"/>
      <c r="AH798" s="8"/>
    </row>
    <row r="799" spans="1:34" ht="15.75" customHeight="1" x14ac:dyDescent="0.3">
      <c r="A799" s="5"/>
      <c r="B799" s="5"/>
      <c r="C799" s="5"/>
      <c r="D799" s="5"/>
      <c r="E799" s="5"/>
      <c r="F799" s="5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8"/>
      <c r="AF799" s="8"/>
      <c r="AG799" s="8"/>
      <c r="AH799" s="8"/>
    </row>
    <row r="800" spans="1:34" ht="15.75" customHeight="1" x14ac:dyDescent="0.3">
      <c r="A800" s="5"/>
      <c r="B800" s="5"/>
      <c r="C800" s="5"/>
      <c r="D800" s="5"/>
      <c r="E800" s="5"/>
      <c r="F800" s="5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8"/>
      <c r="AF800" s="8"/>
      <c r="AG800" s="8"/>
      <c r="AH800" s="8"/>
    </row>
    <row r="801" spans="1:34" ht="15.75" customHeight="1" x14ac:dyDescent="0.3">
      <c r="A801" s="5"/>
      <c r="B801" s="5"/>
      <c r="C801" s="5"/>
      <c r="D801" s="5"/>
      <c r="E801" s="5"/>
      <c r="F801" s="5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8"/>
      <c r="AF801" s="8"/>
      <c r="AG801" s="8"/>
      <c r="AH801" s="8"/>
    </row>
    <row r="802" spans="1:34" ht="15.75" customHeight="1" x14ac:dyDescent="0.3">
      <c r="A802" s="5"/>
      <c r="B802" s="5"/>
      <c r="C802" s="5"/>
      <c r="D802" s="5"/>
      <c r="E802" s="5"/>
      <c r="F802" s="5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8"/>
      <c r="AF802" s="8"/>
      <c r="AG802" s="8"/>
      <c r="AH802" s="8"/>
    </row>
    <row r="803" spans="1:34" ht="15.75" customHeight="1" x14ac:dyDescent="0.3">
      <c r="A803" s="5"/>
      <c r="B803" s="5"/>
      <c r="C803" s="5"/>
      <c r="D803" s="5"/>
      <c r="E803" s="5"/>
      <c r="F803" s="5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8"/>
      <c r="AF803" s="8"/>
      <c r="AG803" s="8"/>
      <c r="AH803" s="8"/>
    </row>
    <row r="804" spans="1:34" ht="15.75" customHeight="1" x14ac:dyDescent="0.3">
      <c r="A804" s="5"/>
      <c r="B804" s="5"/>
      <c r="C804" s="5"/>
      <c r="D804" s="5"/>
      <c r="E804" s="5"/>
      <c r="F804" s="5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8"/>
      <c r="AF804" s="8"/>
      <c r="AG804" s="8"/>
      <c r="AH804" s="8"/>
    </row>
    <row r="805" spans="1:34" ht="15.75" customHeight="1" x14ac:dyDescent="0.3">
      <c r="A805" s="5"/>
      <c r="B805" s="5"/>
      <c r="C805" s="5"/>
      <c r="D805" s="5"/>
      <c r="E805" s="5"/>
      <c r="F805" s="5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8"/>
      <c r="AF805" s="8"/>
      <c r="AG805" s="8"/>
      <c r="AH805" s="8"/>
    </row>
    <row r="806" spans="1:34" ht="15.75" customHeight="1" x14ac:dyDescent="0.3">
      <c r="A806" s="5"/>
      <c r="B806" s="5"/>
      <c r="C806" s="5"/>
      <c r="D806" s="5"/>
      <c r="E806" s="5"/>
      <c r="F806" s="5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8"/>
      <c r="AF806" s="8"/>
      <c r="AG806" s="8"/>
      <c r="AH806" s="8"/>
    </row>
    <row r="807" spans="1:34" ht="15.75" customHeight="1" x14ac:dyDescent="0.3">
      <c r="A807" s="5"/>
      <c r="B807" s="5"/>
      <c r="C807" s="5"/>
      <c r="D807" s="5"/>
      <c r="E807" s="5"/>
      <c r="F807" s="5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8"/>
      <c r="AF807" s="8"/>
      <c r="AG807" s="8"/>
      <c r="AH807" s="8"/>
    </row>
    <row r="808" spans="1:34" ht="15.75" customHeight="1" x14ac:dyDescent="0.3">
      <c r="A808" s="5"/>
      <c r="B808" s="5"/>
      <c r="C808" s="5"/>
      <c r="D808" s="5"/>
      <c r="E808" s="5"/>
      <c r="F808" s="5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8"/>
      <c r="AF808" s="8"/>
      <c r="AG808" s="8"/>
      <c r="AH808" s="8"/>
    </row>
    <row r="809" spans="1:34" ht="15.75" customHeight="1" x14ac:dyDescent="0.3">
      <c r="A809" s="5"/>
      <c r="B809" s="5"/>
      <c r="C809" s="5"/>
      <c r="D809" s="5"/>
      <c r="E809" s="5"/>
      <c r="F809" s="5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8"/>
      <c r="AF809" s="8"/>
      <c r="AG809" s="8"/>
      <c r="AH809" s="8"/>
    </row>
    <row r="810" spans="1:34" ht="15.75" customHeight="1" x14ac:dyDescent="0.3">
      <c r="A810" s="5"/>
      <c r="B810" s="5"/>
      <c r="C810" s="5"/>
      <c r="D810" s="5"/>
      <c r="E810" s="5"/>
      <c r="F810" s="5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8"/>
      <c r="AF810" s="8"/>
      <c r="AG810" s="8"/>
      <c r="AH810" s="8"/>
    </row>
    <row r="811" spans="1:34" ht="15.75" customHeight="1" x14ac:dyDescent="0.3">
      <c r="A811" s="5"/>
      <c r="B811" s="5"/>
      <c r="C811" s="5"/>
      <c r="D811" s="5"/>
      <c r="E811" s="5"/>
      <c r="F811" s="5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8"/>
      <c r="AF811" s="8"/>
      <c r="AG811" s="8"/>
      <c r="AH811" s="8"/>
    </row>
    <row r="812" spans="1:34" ht="15.75" customHeight="1" x14ac:dyDescent="0.3">
      <c r="A812" s="5"/>
      <c r="B812" s="5"/>
      <c r="C812" s="5"/>
      <c r="D812" s="5"/>
      <c r="E812" s="5"/>
      <c r="F812" s="5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8"/>
      <c r="AF812" s="8"/>
      <c r="AG812" s="8"/>
      <c r="AH812" s="8"/>
    </row>
    <row r="813" spans="1:34" ht="15.75" customHeight="1" x14ac:dyDescent="0.3">
      <c r="A813" s="5"/>
      <c r="B813" s="5"/>
      <c r="C813" s="5"/>
      <c r="D813" s="5"/>
      <c r="E813" s="5"/>
      <c r="F813" s="5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8"/>
      <c r="AF813" s="8"/>
      <c r="AG813" s="8"/>
      <c r="AH813" s="8"/>
    </row>
    <row r="814" spans="1:34" ht="15.75" customHeight="1" x14ac:dyDescent="0.3">
      <c r="A814" s="5"/>
      <c r="B814" s="5"/>
      <c r="C814" s="5"/>
      <c r="D814" s="5"/>
      <c r="E814" s="5"/>
      <c r="F814" s="5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8"/>
      <c r="AF814" s="8"/>
      <c r="AG814" s="8"/>
      <c r="AH814" s="8"/>
    </row>
    <row r="815" spans="1:34" ht="15.75" customHeight="1" x14ac:dyDescent="0.3">
      <c r="A815" s="5"/>
      <c r="B815" s="5"/>
      <c r="C815" s="5"/>
      <c r="D815" s="5"/>
      <c r="E815" s="5"/>
      <c r="F815" s="5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8"/>
      <c r="AF815" s="8"/>
      <c r="AG815" s="8"/>
      <c r="AH815" s="8"/>
    </row>
    <row r="816" spans="1:34" ht="15.75" customHeight="1" x14ac:dyDescent="0.3">
      <c r="A816" s="5"/>
      <c r="B816" s="5"/>
      <c r="C816" s="5"/>
      <c r="D816" s="5"/>
      <c r="E816" s="5"/>
      <c r="F816" s="5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8"/>
      <c r="AF816" s="8"/>
      <c r="AG816" s="8"/>
      <c r="AH816" s="8"/>
    </row>
    <row r="817" spans="1:34" ht="15.75" customHeight="1" x14ac:dyDescent="0.3">
      <c r="A817" s="5"/>
      <c r="B817" s="5"/>
      <c r="C817" s="5"/>
      <c r="D817" s="5"/>
      <c r="E817" s="5"/>
      <c r="F817" s="5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8"/>
      <c r="AF817" s="8"/>
      <c r="AG817" s="8"/>
      <c r="AH817" s="8"/>
    </row>
    <row r="818" spans="1:34" ht="15.75" customHeight="1" x14ac:dyDescent="0.3">
      <c r="A818" s="5"/>
      <c r="B818" s="5"/>
      <c r="C818" s="5"/>
      <c r="D818" s="5"/>
      <c r="E818" s="5"/>
      <c r="F818" s="5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8"/>
      <c r="AF818" s="8"/>
      <c r="AG818" s="8"/>
      <c r="AH818" s="8"/>
    </row>
    <row r="819" spans="1:34" ht="15.75" customHeight="1" x14ac:dyDescent="0.3">
      <c r="A819" s="5"/>
      <c r="B819" s="5"/>
      <c r="C819" s="5"/>
      <c r="D819" s="5"/>
      <c r="E819" s="5"/>
      <c r="F819" s="5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8"/>
      <c r="AF819" s="8"/>
      <c r="AG819" s="8"/>
      <c r="AH819" s="8"/>
    </row>
    <row r="820" spans="1:34" ht="15.75" customHeight="1" x14ac:dyDescent="0.3">
      <c r="A820" s="5"/>
      <c r="B820" s="5"/>
      <c r="C820" s="5"/>
      <c r="D820" s="5"/>
      <c r="E820" s="5"/>
      <c r="F820" s="5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8"/>
      <c r="AF820" s="8"/>
      <c r="AG820" s="8"/>
      <c r="AH820" s="8"/>
    </row>
    <row r="821" spans="1:34" ht="15.75" customHeight="1" x14ac:dyDescent="0.3">
      <c r="A821" s="5"/>
      <c r="B821" s="5"/>
      <c r="C821" s="5"/>
      <c r="D821" s="5"/>
      <c r="E821" s="5"/>
      <c r="F821" s="5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8"/>
      <c r="AF821" s="8"/>
      <c r="AG821" s="8"/>
      <c r="AH821" s="8"/>
    </row>
    <row r="822" spans="1:34" ht="15.75" customHeight="1" x14ac:dyDescent="0.3">
      <c r="A822" s="5"/>
      <c r="B822" s="5"/>
      <c r="C822" s="5"/>
      <c r="D822" s="5"/>
      <c r="E822" s="5"/>
      <c r="F822" s="5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8"/>
      <c r="AF822" s="8"/>
      <c r="AG822" s="8"/>
      <c r="AH822" s="8"/>
    </row>
    <row r="823" spans="1:34" ht="15.75" customHeight="1" x14ac:dyDescent="0.3">
      <c r="A823" s="5"/>
      <c r="B823" s="5"/>
      <c r="C823" s="5"/>
      <c r="D823" s="5"/>
      <c r="E823" s="5"/>
      <c r="F823" s="5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8"/>
      <c r="AF823" s="8"/>
      <c r="AG823" s="8"/>
      <c r="AH823" s="8"/>
    </row>
    <row r="824" spans="1:34" ht="15.75" customHeight="1" x14ac:dyDescent="0.3">
      <c r="A824" s="5"/>
      <c r="B824" s="5"/>
      <c r="C824" s="5"/>
      <c r="D824" s="5"/>
      <c r="E824" s="5"/>
      <c r="F824" s="5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8"/>
      <c r="AF824" s="8"/>
      <c r="AG824" s="8"/>
      <c r="AH824" s="8"/>
    </row>
    <row r="825" spans="1:34" ht="15.75" customHeight="1" x14ac:dyDescent="0.3">
      <c r="A825" s="5"/>
      <c r="B825" s="5"/>
      <c r="C825" s="5"/>
      <c r="D825" s="5"/>
      <c r="E825" s="5"/>
      <c r="F825" s="5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8"/>
      <c r="AF825" s="8"/>
      <c r="AG825" s="8"/>
      <c r="AH825" s="8"/>
    </row>
    <row r="826" spans="1:34" ht="15.75" customHeight="1" x14ac:dyDescent="0.3">
      <c r="A826" s="5"/>
      <c r="B826" s="5"/>
      <c r="C826" s="5"/>
      <c r="D826" s="5"/>
      <c r="E826" s="5"/>
      <c r="F826" s="5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8"/>
      <c r="AF826" s="8"/>
      <c r="AG826" s="8"/>
      <c r="AH826" s="8"/>
    </row>
    <row r="827" spans="1:34" ht="15.75" customHeight="1" x14ac:dyDescent="0.3">
      <c r="A827" s="5"/>
      <c r="B827" s="5"/>
      <c r="C827" s="5"/>
      <c r="D827" s="5"/>
      <c r="E827" s="5"/>
      <c r="F827" s="5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8"/>
      <c r="AF827" s="8"/>
      <c r="AG827" s="8"/>
      <c r="AH827" s="8"/>
    </row>
    <row r="828" spans="1:34" ht="15.75" customHeight="1" x14ac:dyDescent="0.3">
      <c r="A828" s="5"/>
      <c r="B828" s="5"/>
      <c r="C828" s="5"/>
      <c r="D828" s="5"/>
      <c r="E828" s="5"/>
      <c r="F828" s="5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8"/>
      <c r="AF828" s="8"/>
      <c r="AG828" s="8"/>
      <c r="AH828" s="8"/>
    </row>
    <row r="829" spans="1:34" ht="15.75" customHeight="1" x14ac:dyDescent="0.3">
      <c r="A829" s="5"/>
      <c r="B829" s="5"/>
      <c r="C829" s="5"/>
      <c r="D829" s="5"/>
      <c r="E829" s="5"/>
      <c r="F829" s="5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8"/>
      <c r="AF829" s="8"/>
      <c r="AG829" s="8"/>
      <c r="AH829" s="8"/>
    </row>
    <row r="830" spans="1:34" ht="15.75" customHeight="1" x14ac:dyDescent="0.3">
      <c r="A830" s="5"/>
      <c r="B830" s="5"/>
      <c r="C830" s="5"/>
      <c r="D830" s="5"/>
      <c r="E830" s="5"/>
      <c r="F830" s="5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8"/>
      <c r="AF830" s="8"/>
      <c r="AG830" s="8"/>
      <c r="AH830" s="8"/>
    </row>
    <row r="831" spans="1:34" ht="15.75" customHeight="1" x14ac:dyDescent="0.3">
      <c r="A831" s="5"/>
      <c r="B831" s="5"/>
      <c r="C831" s="5"/>
      <c r="D831" s="5"/>
      <c r="E831" s="5"/>
      <c r="F831" s="5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8"/>
      <c r="AF831" s="8"/>
      <c r="AG831" s="8"/>
      <c r="AH831" s="8"/>
    </row>
    <row r="832" spans="1:34" ht="15.75" customHeight="1" x14ac:dyDescent="0.3">
      <c r="A832" s="5"/>
      <c r="B832" s="5"/>
      <c r="C832" s="5"/>
      <c r="D832" s="5"/>
      <c r="E832" s="5"/>
      <c r="F832" s="5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8"/>
      <c r="AF832" s="8"/>
      <c r="AG832" s="8"/>
      <c r="AH832" s="8"/>
    </row>
    <row r="833" spans="1:34" ht="15.75" customHeight="1" x14ac:dyDescent="0.3">
      <c r="A833" s="5"/>
      <c r="B833" s="5"/>
      <c r="C833" s="5"/>
      <c r="D833" s="5"/>
      <c r="E833" s="5"/>
      <c r="F833" s="5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8"/>
      <c r="AF833" s="8"/>
      <c r="AG833" s="8"/>
      <c r="AH833" s="8"/>
    </row>
    <row r="834" spans="1:34" ht="15.75" customHeight="1" x14ac:dyDescent="0.3">
      <c r="A834" s="5"/>
      <c r="B834" s="5"/>
      <c r="C834" s="5"/>
      <c r="D834" s="5"/>
      <c r="E834" s="5"/>
      <c r="F834" s="5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8"/>
      <c r="AF834" s="8"/>
      <c r="AG834" s="8"/>
      <c r="AH834" s="8"/>
    </row>
    <row r="835" spans="1:34" ht="15.75" customHeight="1" x14ac:dyDescent="0.3">
      <c r="A835" s="5"/>
      <c r="B835" s="5"/>
      <c r="C835" s="5"/>
      <c r="D835" s="5"/>
      <c r="E835" s="5"/>
      <c r="F835" s="5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8"/>
      <c r="AF835" s="8"/>
      <c r="AG835" s="8"/>
      <c r="AH835" s="8"/>
    </row>
    <row r="836" spans="1:34" ht="15.75" customHeight="1" x14ac:dyDescent="0.3">
      <c r="A836" s="5"/>
      <c r="B836" s="5"/>
      <c r="C836" s="5"/>
      <c r="D836" s="5"/>
      <c r="E836" s="5"/>
      <c r="F836" s="5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8"/>
      <c r="AF836" s="8"/>
      <c r="AG836" s="8"/>
      <c r="AH836" s="8"/>
    </row>
    <row r="837" spans="1:34" ht="15.75" customHeight="1" x14ac:dyDescent="0.3">
      <c r="A837" s="5"/>
      <c r="B837" s="5"/>
      <c r="C837" s="5"/>
      <c r="D837" s="5"/>
      <c r="E837" s="5"/>
      <c r="F837" s="5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8"/>
      <c r="AF837" s="8"/>
      <c r="AG837" s="8"/>
      <c r="AH837" s="8"/>
    </row>
    <row r="838" spans="1:34" ht="15.75" customHeight="1" x14ac:dyDescent="0.3">
      <c r="A838" s="5"/>
      <c r="B838" s="5"/>
      <c r="C838" s="5"/>
      <c r="D838" s="5"/>
      <c r="E838" s="5"/>
      <c r="F838" s="5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8"/>
      <c r="AF838" s="8"/>
      <c r="AG838" s="8"/>
      <c r="AH838" s="8"/>
    </row>
    <row r="839" spans="1:34" ht="15.75" customHeight="1" x14ac:dyDescent="0.3">
      <c r="A839" s="5"/>
      <c r="B839" s="5"/>
      <c r="C839" s="5"/>
      <c r="D839" s="5"/>
      <c r="E839" s="5"/>
      <c r="F839" s="5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8"/>
      <c r="AF839" s="8"/>
      <c r="AG839" s="8"/>
      <c r="AH839" s="8"/>
    </row>
    <row r="840" spans="1:34" ht="15.75" customHeight="1" x14ac:dyDescent="0.3">
      <c r="A840" s="5"/>
      <c r="B840" s="5"/>
      <c r="C840" s="5"/>
      <c r="D840" s="5"/>
      <c r="E840" s="5"/>
      <c r="F840" s="5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8"/>
      <c r="AF840" s="8"/>
      <c r="AG840" s="8"/>
      <c r="AH840" s="8"/>
    </row>
    <row r="841" spans="1:34" ht="15.75" customHeight="1" x14ac:dyDescent="0.3">
      <c r="A841" s="5"/>
      <c r="B841" s="5"/>
      <c r="C841" s="5"/>
      <c r="D841" s="5"/>
      <c r="E841" s="5"/>
      <c r="F841" s="5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8"/>
      <c r="AF841" s="8"/>
      <c r="AG841" s="8"/>
      <c r="AH841" s="8"/>
    </row>
    <row r="842" spans="1:34" ht="15.75" customHeight="1" x14ac:dyDescent="0.3">
      <c r="A842" s="5"/>
      <c r="B842" s="5"/>
      <c r="C842" s="5"/>
      <c r="D842" s="5"/>
      <c r="E842" s="5"/>
      <c r="F842" s="5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8"/>
      <c r="AF842" s="8"/>
      <c r="AG842" s="8"/>
      <c r="AH842" s="8"/>
    </row>
    <row r="843" spans="1:34" ht="15.75" customHeight="1" x14ac:dyDescent="0.3">
      <c r="A843" s="5"/>
      <c r="B843" s="5"/>
      <c r="C843" s="5"/>
      <c r="D843" s="5"/>
      <c r="E843" s="5"/>
      <c r="F843" s="5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8"/>
      <c r="AF843" s="8"/>
      <c r="AG843" s="8"/>
      <c r="AH843" s="8"/>
    </row>
    <row r="844" spans="1:34" ht="15.75" customHeight="1" x14ac:dyDescent="0.3">
      <c r="A844" s="5"/>
      <c r="B844" s="5"/>
      <c r="C844" s="5"/>
      <c r="D844" s="5"/>
      <c r="E844" s="5"/>
      <c r="F844" s="5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8"/>
      <c r="AF844" s="8"/>
      <c r="AG844" s="8"/>
      <c r="AH844" s="8"/>
    </row>
    <row r="845" spans="1:34" ht="15.75" customHeight="1" x14ac:dyDescent="0.3">
      <c r="A845" s="5"/>
      <c r="B845" s="5"/>
      <c r="C845" s="5"/>
      <c r="D845" s="5"/>
      <c r="E845" s="5"/>
      <c r="F845" s="5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8"/>
      <c r="AF845" s="8"/>
      <c r="AG845" s="8"/>
      <c r="AH845" s="8"/>
    </row>
    <row r="846" spans="1:34" ht="15.75" customHeight="1" x14ac:dyDescent="0.3">
      <c r="A846" s="5"/>
      <c r="B846" s="5"/>
      <c r="C846" s="5"/>
      <c r="D846" s="5"/>
      <c r="E846" s="5"/>
      <c r="F846" s="5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8"/>
      <c r="AF846" s="8"/>
      <c r="AG846" s="8"/>
      <c r="AH846" s="8"/>
    </row>
    <row r="847" spans="1:34" ht="15.75" customHeight="1" x14ac:dyDescent="0.3">
      <c r="A847" s="5"/>
      <c r="B847" s="5"/>
      <c r="C847" s="5"/>
      <c r="D847" s="5"/>
      <c r="E847" s="5"/>
      <c r="F847" s="5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8"/>
      <c r="AF847" s="8"/>
      <c r="AG847" s="8"/>
      <c r="AH847" s="8"/>
    </row>
    <row r="848" spans="1:34" ht="15.75" customHeight="1" x14ac:dyDescent="0.3">
      <c r="A848" s="5"/>
      <c r="B848" s="5"/>
      <c r="C848" s="5"/>
      <c r="D848" s="5"/>
      <c r="E848" s="5"/>
      <c r="F848" s="5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8"/>
      <c r="AF848" s="8"/>
      <c r="AG848" s="8"/>
      <c r="AH848" s="8"/>
    </row>
    <row r="849" spans="1:34" ht="15.75" customHeight="1" x14ac:dyDescent="0.3">
      <c r="A849" s="5"/>
      <c r="B849" s="5"/>
      <c r="C849" s="5"/>
      <c r="D849" s="5"/>
      <c r="E849" s="5"/>
      <c r="F849" s="5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8"/>
      <c r="AF849" s="8"/>
      <c r="AG849" s="8"/>
      <c r="AH849" s="8"/>
    </row>
    <row r="850" spans="1:34" ht="15.75" customHeight="1" x14ac:dyDescent="0.3">
      <c r="A850" s="5"/>
      <c r="B850" s="5"/>
      <c r="C850" s="5"/>
      <c r="D850" s="5"/>
      <c r="E850" s="5"/>
      <c r="F850" s="5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8"/>
      <c r="AF850" s="8"/>
      <c r="AG850" s="8"/>
      <c r="AH850" s="8"/>
    </row>
    <row r="851" spans="1:34" ht="15.75" customHeight="1" x14ac:dyDescent="0.3">
      <c r="A851" s="5"/>
      <c r="B851" s="5"/>
      <c r="C851" s="5"/>
      <c r="D851" s="5"/>
      <c r="E851" s="5"/>
      <c r="F851" s="5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8"/>
      <c r="AF851" s="8"/>
      <c r="AG851" s="8"/>
      <c r="AH851" s="8"/>
    </row>
    <row r="852" spans="1:34" ht="15.75" customHeight="1" x14ac:dyDescent="0.3">
      <c r="A852" s="5"/>
      <c r="B852" s="5"/>
      <c r="C852" s="5"/>
      <c r="D852" s="5"/>
      <c r="E852" s="5"/>
      <c r="F852" s="5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8"/>
      <c r="AF852" s="8"/>
      <c r="AG852" s="8"/>
      <c r="AH852" s="8"/>
    </row>
    <row r="853" spans="1:34" ht="15.75" customHeight="1" x14ac:dyDescent="0.3">
      <c r="A853" s="5"/>
      <c r="B853" s="5"/>
      <c r="C853" s="5"/>
      <c r="D853" s="5"/>
      <c r="E853" s="5"/>
      <c r="F853" s="5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8"/>
      <c r="AF853" s="8"/>
      <c r="AG853" s="8"/>
      <c r="AH853" s="8"/>
    </row>
    <row r="854" spans="1:34" ht="15.75" customHeight="1" x14ac:dyDescent="0.3">
      <c r="A854" s="5"/>
      <c r="B854" s="5"/>
      <c r="C854" s="5"/>
      <c r="D854" s="5"/>
      <c r="E854" s="5"/>
      <c r="F854" s="5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8"/>
      <c r="AF854" s="8"/>
      <c r="AG854" s="8"/>
      <c r="AH854" s="8"/>
    </row>
    <row r="855" spans="1:34" ht="15.75" customHeight="1" x14ac:dyDescent="0.3">
      <c r="A855" s="5"/>
      <c r="B855" s="5"/>
      <c r="C855" s="5"/>
      <c r="D855" s="5"/>
      <c r="E855" s="5"/>
      <c r="F855" s="5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8"/>
      <c r="AF855" s="8"/>
      <c r="AG855" s="8"/>
      <c r="AH855" s="8"/>
    </row>
    <row r="856" spans="1:34" ht="15.75" customHeight="1" x14ac:dyDescent="0.3">
      <c r="A856" s="5"/>
      <c r="B856" s="5"/>
      <c r="C856" s="5"/>
      <c r="D856" s="5"/>
      <c r="E856" s="5"/>
      <c r="F856" s="5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8"/>
      <c r="AF856" s="8"/>
      <c r="AG856" s="8"/>
      <c r="AH856" s="8"/>
    </row>
    <row r="857" spans="1:34" ht="15.75" customHeight="1" x14ac:dyDescent="0.3">
      <c r="A857" s="5"/>
      <c r="B857" s="5"/>
      <c r="C857" s="5"/>
      <c r="D857" s="5"/>
      <c r="E857" s="5"/>
      <c r="F857" s="5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8"/>
      <c r="AF857" s="8"/>
      <c r="AG857" s="8"/>
      <c r="AH857" s="8"/>
    </row>
    <row r="858" spans="1:34" ht="15.75" customHeight="1" x14ac:dyDescent="0.3">
      <c r="A858" s="5"/>
      <c r="B858" s="5"/>
      <c r="C858" s="5"/>
      <c r="D858" s="5"/>
      <c r="E858" s="5"/>
      <c r="F858" s="5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8"/>
      <c r="AF858" s="8"/>
      <c r="AG858" s="8"/>
      <c r="AH858" s="8"/>
    </row>
    <row r="859" spans="1:34" ht="15.75" customHeight="1" x14ac:dyDescent="0.3">
      <c r="A859" s="5"/>
      <c r="B859" s="5"/>
      <c r="C859" s="5"/>
      <c r="D859" s="5"/>
      <c r="E859" s="5"/>
      <c r="F859" s="5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8"/>
      <c r="AF859" s="8"/>
      <c r="AG859" s="8"/>
      <c r="AH859" s="8"/>
    </row>
    <row r="860" spans="1:34" ht="15.75" customHeight="1" x14ac:dyDescent="0.3">
      <c r="A860" s="5"/>
      <c r="B860" s="5"/>
      <c r="C860" s="5"/>
      <c r="D860" s="5"/>
      <c r="E860" s="5"/>
      <c r="F860" s="5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8"/>
      <c r="AF860" s="8"/>
      <c r="AG860" s="8"/>
      <c r="AH860" s="8"/>
    </row>
    <row r="861" spans="1:34" ht="15.75" customHeight="1" x14ac:dyDescent="0.3">
      <c r="A861" s="5"/>
      <c r="B861" s="5"/>
      <c r="C861" s="5"/>
      <c r="D861" s="5"/>
      <c r="E861" s="5"/>
      <c r="F861" s="5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8"/>
      <c r="AF861" s="8"/>
      <c r="AG861" s="8"/>
      <c r="AH861" s="8"/>
    </row>
    <row r="862" spans="1:34" ht="15.75" customHeight="1" x14ac:dyDescent="0.3">
      <c r="A862" s="5"/>
      <c r="B862" s="5"/>
      <c r="C862" s="5"/>
      <c r="D862" s="5"/>
      <c r="E862" s="5"/>
      <c r="F862" s="5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8"/>
      <c r="AF862" s="8"/>
      <c r="AG862" s="8"/>
      <c r="AH862" s="8"/>
    </row>
    <row r="863" spans="1:34" ht="15.75" customHeight="1" x14ac:dyDescent="0.3">
      <c r="A863" s="5"/>
      <c r="B863" s="5"/>
      <c r="C863" s="5"/>
      <c r="D863" s="5"/>
      <c r="E863" s="5"/>
      <c r="F863" s="5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8"/>
      <c r="AF863" s="8"/>
      <c r="AG863" s="8"/>
      <c r="AH863" s="8"/>
    </row>
    <row r="864" spans="1:34" ht="15.75" customHeight="1" x14ac:dyDescent="0.3">
      <c r="A864" s="5"/>
      <c r="B864" s="5"/>
      <c r="C864" s="5"/>
      <c r="D864" s="5"/>
      <c r="E864" s="5"/>
      <c r="F864" s="5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8"/>
      <c r="AF864" s="8"/>
      <c r="AG864" s="8"/>
      <c r="AH864" s="8"/>
    </row>
    <row r="865" spans="1:34" ht="15.75" customHeight="1" x14ac:dyDescent="0.3">
      <c r="A865" s="5"/>
      <c r="B865" s="5"/>
      <c r="C865" s="5"/>
      <c r="D865" s="5"/>
      <c r="E865" s="5"/>
      <c r="F865" s="5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8"/>
      <c r="AF865" s="8"/>
      <c r="AG865" s="8"/>
      <c r="AH865" s="8"/>
    </row>
    <row r="866" spans="1:34" ht="15.75" customHeight="1" x14ac:dyDescent="0.3">
      <c r="A866" s="5"/>
      <c r="B866" s="5"/>
      <c r="C866" s="5"/>
      <c r="D866" s="5"/>
      <c r="E866" s="5"/>
      <c r="F866" s="5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8"/>
      <c r="AF866" s="8"/>
      <c r="AG866" s="8"/>
      <c r="AH866" s="8"/>
    </row>
    <row r="867" spans="1:34" ht="15.75" customHeight="1" x14ac:dyDescent="0.3">
      <c r="A867" s="5"/>
      <c r="B867" s="5"/>
      <c r="C867" s="5"/>
      <c r="D867" s="5"/>
      <c r="E867" s="5"/>
      <c r="F867" s="5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8"/>
      <c r="AF867" s="8"/>
      <c r="AG867" s="8"/>
      <c r="AH867" s="8"/>
    </row>
    <row r="868" spans="1:34" ht="15.75" customHeight="1" x14ac:dyDescent="0.3">
      <c r="A868" s="5"/>
      <c r="B868" s="5"/>
      <c r="C868" s="5"/>
      <c r="D868" s="5"/>
      <c r="E868" s="5"/>
      <c r="F868" s="5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8"/>
      <c r="AF868" s="8"/>
      <c r="AG868" s="8"/>
      <c r="AH868" s="8"/>
    </row>
    <row r="869" spans="1:34" ht="15.75" customHeight="1" x14ac:dyDescent="0.3">
      <c r="A869" s="5"/>
      <c r="B869" s="5"/>
      <c r="C869" s="5"/>
      <c r="D869" s="5"/>
      <c r="E869" s="5"/>
      <c r="F869" s="5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8"/>
      <c r="AF869" s="8"/>
      <c r="AG869" s="8"/>
      <c r="AH869" s="8"/>
    </row>
    <row r="870" spans="1:34" ht="15.75" customHeight="1" x14ac:dyDescent="0.3">
      <c r="A870" s="5"/>
      <c r="B870" s="5"/>
      <c r="C870" s="5"/>
      <c r="D870" s="5"/>
      <c r="E870" s="5"/>
      <c r="F870" s="5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8"/>
      <c r="AF870" s="8"/>
      <c r="AG870" s="8"/>
      <c r="AH870" s="8"/>
    </row>
    <row r="871" spans="1:34" ht="15.75" customHeight="1" x14ac:dyDescent="0.3">
      <c r="A871" s="5"/>
      <c r="B871" s="5"/>
      <c r="C871" s="5"/>
      <c r="D871" s="5"/>
      <c r="E871" s="5"/>
      <c r="F871" s="5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8"/>
      <c r="AF871" s="8"/>
      <c r="AG871" s="8"/>
      <c r="AH871" s="8"/>
    </row>
    <row r="872" spans="1:34" ht="15.75" customHeight="1" x14ac:dyDescent="0.3">
      <c r="A872" s="5"/>
      <c r="B872" s="5"/>
      <c r="C872" s="5"/>
      <c r="D872" s="5"/>
      <c r="E872" s="5"/>
      <c r="F872" s="5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8"/>
      <c r="AF872" s="8"/>
      <c r="AG872" s="8"/>
      <c r="AH872" s="8"/>
    </row>
    <row r="873" spans="1:34" ht="15.75" customHeight="1" x14ac:dyDescent="0.3">
      <c r="A873" s="5"/>
      <c r="B873" s="5"/>
      <c r="C873" s="5"/>
      <c r="D873" s="5"/>
      <c r="E873" s="5"/>
      <c r="F873" s="5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8"/>
      <c r="AF873" s="8"/>
      <c r="AG873" s="8"/>
      <c r="AH873" s="8"/>
    </row>
    <row r="874" spans="1:34" ht="15.75" customHeight="1" x14ac:dyDescent="0.3">
      <c r="A874" s="5"/>
      <c r="B874" s="5"/>
      <c r="C874" s="5"/>
      <c r="D874" s="5"/>
      <c r="E874" s="5"/>
      <c r="F874" s="5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8"/>
      <c r="AF874" s="8"/>
      <c r="AG874" s="8"/>
      <c r="AH874" s="8"/>
    </row>
    <row r="875" spans="1:34" ht="15.75" customHeight="1" x14ac:dyDescent="0.3">
      <c r="A875" s="5"/>
      <c r="B875" s="5"/>
      <c r="C875" s="5"/>
      <c r="D875" s="5"/>
      <c r="E875" s="5"/>
      <c r="F875" s="5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8"/>
      <c r="AF875" s="8"/>
      <c r="AG875" s="8"/>
      <c r="AH875" s="8"/>
    </row>
    <row r="876" spans="1:34" ht="15.75" customHeight="1" x14ac:dyDescent="0.3">
      <c r="A876" s="5"/>
      <c r="B876" s="5"/>
      <c r="C876" s="5"/>
      <c r="D876" s="5"/>
      <c r="E876" s="5"/>
      <c r="F876" s="5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8"/>
      <c r="AF876" s="8"/>
      <c r="AG876" s="8"/>
      <c r="AH876" s="8"/>
    </row>
    <row r="877" spans="1:34" ht="15.75" customHeight="1" x14ac:dyDescent="0.3">
      <c r="A877" s="5"/>
      <c r="B877" s="5"/>
      <c r="C877" s="5"/>
      <c r="D877" s="5"/>
      <c r="E877" s="5"/>
      <c r="F877" s="5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8"/>
      <c r="AF877" s="8"/>
      <c r="AG877" s="8"/>
      <c r="AH877" s="8"/>
    </row>
    <row r="878" spans="1:34" ht="15.75" customHeight="1" x14ac:dyDescent="0.3">
      <c r="A878" s="5"/>
      <c r="B878" s="5"/>
      <c r="C878" s="5"/>
      <c r="D878" s="5"/>
      <c r="E878" s="5"/>
      <c r="F878" s="5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8"/>
      <c r="AF878" s="8"/>
      <c r="AG878" s="8"/>
      <c r="AH878" s="8"/>
    </row>
    <row r="879" spans="1:34" ht="15.75" customHeight="1" x14ac:dyDescent="0.3">
      <c r="A879" s="5"/>
      <c r="B879" s="5"/>
      <c r="C879" s="5"/>
      <c r="D879" s="5"/>
      <c r="E879" s="5"/>
      <c r="F879" s="5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8"/>
      <c r="AF879" s="8"/>
      <c r="AG879" s="8"/>
      <c r="AH879" s="8"/>
    </row>
    <row r="880" spans="1:34" ht="15.75" customHeight="1" x14ac:dyDescent="0.3">
      <c r="A880" s="5"/>
      <c r="B880" s="5"/>
      <c r="C880" s="5"/>
      <c r="D880" s="5"/>
      <c r="E880" s="5"/>
      <c r="F880" s="5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8"/>
      <c r="AF880" s="8"/>
      <c r="AG880" s="8"/>
      <c r="AH880" s="8"/>
    </row>
    <row r="881" spans="1:34" ht="15.75" customHeight="1" x14ac:dyDescent="0.3">
      <c r="A881" s="5"/>
      <c r="B881" s="5"/>
      <c r="C881" s="5"/>
      <c r="D881" s="5"/>
      <c r="E881" s="5"/>
      <c r="F881" s="5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8"/>
      <c r="AF881" s="8"/>
      <c r="AG881" s="8"/>
      <c r="AH881" s="8"/>
    </row>
    <row r="882" spans="1:34" ht="15.75" customHeight="1" x14ac:dyDescent="0.3">
      <c r="A882" s="5"/>
      <c r="B882" s="5"/>
      <c r="C882" s="5"/>
      <c r="D882" s="5"/>
      <c r="E882" s="5"/>
      <c r="F882" s="5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8"/>
      <c r="AF882" s="8"/>
      <c r="AG882" s="8"/>
      <c r="AH882" s="8"/>
    </row>
    <row r="883" spans="1:34" ht="15.75" customHeight="1" x14ac:dyDescent="0.3">
      <c r="A883" s="5"/>
      <c r="B883" s="5"/>
      <c r="C883" s="5"/>
      <c r="D883" s="5"/>
      <c r="E883" s="5"/>
      <c r="F883" s="5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8"/>
      <c r="AF883" s="8"/>
      <c r="AG883" s="8"/>
      <c r="AH883" s="8"/>
    </row>
    <row r="884" spans="1:34" ht="15.75" customHeight="1" x14ac:dyDescent="0.3">
      <c r="A884" s="5"/>
      <c r="B884" s="5"/>
      <c r="C884" s="5"/>
      <c r="D884" s="5"/>
      <c r="E884" s="5"/>
      <c r="F884" s="5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8"/>
      <c r="AF884" s="8"/>
      <c r="AG884" s="8"/>
      <c r="AH884" s="8"/>
    </row>
    <row r="885" spans="1:34" ht="15.75" customHeight="1" x14ac:dyDescent="0.3">
      <c r="A885" s="5"/>
      <c r="B885" s="5"/>
      <c r="C885" s="5"/>
      <c r="D885" s="5"/>
      <c r="E885" s="5"/>
      <c r="F885" s="5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8"/>
      <c r="AF885" s="8"/>
      <c r="AG885" s="8"/>
      <c r="AH885" s="8"/>
    </row>
    <row r="886" spans="1:34" ht="15.75" customHeight="1" x14ac:dyDescent="0.3">
      <c r="A886" s="5"/>
      <c r="B886" s="5"/>
      <c r="C886" s="5"/>
      <c r="D886" s="5"/>
      <c r="E886" s="5"/>
      <c r="F886" s="5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8"/>
      <c r="AF886" s="8"/>
      <c r="AG886" s="8"/>
      <c r="AH886" s="8"/>
    </row>
    <row r="887" spans="1:34" ht="15.75" customHeight="1" x14ac:dyDescent="0.3">
      <c r="A887" s="5"/>
      <c r="B887" s="5"/>
      <c r="C887" s="5"/>
      <c r="D887" s="5"/>
      <c r="E887" s="5"/>
      <c r="F887" s="5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8"/>
      <c r="AF887" s="8"/>
      <c r="AG887" s="8"/>
      <c r="AH887" s="8"/>
    </row>
    <row r="888" spans="1:34" ht="15.75" customHeight="1" x14ac:dyDescent="0.3">
      <c r="A888" s="5"/>
      <c r="B888" s="5"/>
      <c r="C888" s="5"/>
      <c r="D888" s="5"/>
      <c r="E888" s="5"/>
      <c r="F888" s="5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8"/>
      <c r="AF888" s="8"/>
      <c r="AG888" s="8"/>
      <c r="AH888" s="8"/>
    </row>
    <row r="889" spans="1:34" ht="15.75" customHeight="1" x14ac:dyDescent="0.3">
      <c r="A889" s="5"/>
      <c r="B889" s="5"/>
      <c r="C889" s="5"/>
      <c r="D889" s="5"/>
      <c r="E889" s="5"/>
      <c r="F889" s="5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8"/>
      <c r="AF889" s="8"/>
      <c r="AG889" s="8"/>
      <c r="AH889" s="8"/>
    </row>
    <row r="890" spans="1:34" ht="15.75" customHeight="1" x14ac:dyDescent="0.3">
      <c r="A890" s="5"/>
      <c r="B890" s="5"/>
      <c r="C890" s="5"/>
      <c r="D890" s="5"/>
      <c r="E890" s="5"/>
      <c r="F890" s="5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8"/>
      <c r="AF890" s="8"/>
      <c r="AG890" s="8"/>
      <c r="AH890" s="8"/>
    </row>
    <row r="891" spans="1:34" ht="15.75" customHeight="1" x14ac:dyDescent="0.3">
      <c r="A891" s="5"/>
      <c r="B891" s="5"/>
      <c r="C891" s="5"/>
      <c r="D891" s="5"/>
      <c r="E891" s="5"/>
      <c r="F891" s="5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8"/>
      <c r="AF891" s="8"/>
      <c r="AG891" s="8"/>
      <c r="AH891" s="8"/>
    </row>
    <row r="892" spans="1:34" ht="15.75" customHeight="1" x14ac:dyDescent="0.3">
      <c r="A892" s="5"/>
      <c r="B892" s="5"/>
      <c r="C892" s="5"/>
      <c r="D892" s="5"/>
      <c r="E892" s="5"/>
      <c r="F892" s="5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8"/>
      <c r="AF892" s="8"/>
      <c r="AG892" s="8"/>
      <c r="AH892" s="8"/>
    </row>
    <row r="893" spans="1:34" ht="15.75" customHeight="1" x14ac:dyDescent="0.3">
      <c r="A893" s="5"/>
      <c r="B893" s="5"/>
      <c r="C893" s="5"/>
      <c r="D893" s="5"/>
      <c r="E893" s="5"/>
      <c r="F893" s="5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8"/>
      <c r="AF893" s="8"/>
      <c r="AG893" s="8"/>
      <c r="AH893" s="8"/>
    </row>
    <row r="894" spans="1:34" ht="15.75" customHeight="1" x14ac:dyDescent="0.3">
      <c r="A894" s="5"/>
      <c r="B894" s="5"/>
      <c r="C894" s="5"/>
      <c r="D894" s="5"/>
      <c r="E894" s="5"/>
      <c r="F894" s="5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8"/>
      <c r="AF894" s="8"/>
      <c r="AG894" s="8"/>
      <c r="AH894" s="8"/>
    </row>
    <row r="895" spans="1:34" ht="15.75" customHeight="1" x14ac:dyDescent="0.3">
      <c r="A895" s="5"/>
      <c r="B895" s="5"/>
      <c r="C895" s="5"/>
      <c r="D895" s="5"/>
      <c r="E895" s="5"/>
      <c r="F895" s="5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8"/>
      <c r="AF895" s="8"/>
      <c r="AG895" s="8"/>
      <c r="AH895" s="8"/>
    </row>
    <row r="896" spans="1:34" ht="15.75" customHeight="1" x14ac:dyDescent="0.3">
      <c r="A896" s="5"/>
      <c r="B896" s="5"/>
      <c r="C896" s="5"/>
      <c r="D896" s="5"/>
      <c r="E896" s="5"/>
      <c r="F896" s="5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8"/>
      <c r="AF896" s="8"/>
      <c r="AG896" s="8"/>
      <c r="AH896" s="8"/>
    </row>
    <row r="897" spans="1:34" ht="15.75" customHeight="1" x14ac:dyDescent="0.3">
      <c r="A897" s="5"/>
      <c r="B897" s="5"/>
      <c r="C897" s="5"/>
      <c r="D897" s="5"/>
      <c r="E897" s="5"/>
      <c r="F897" s="5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8"/>
      <c r="AF897" s="8"/>
      <c r="AG897" s="8"/>
      <c r="AH897" s="8"/>
    </row>
    <row r="898" spans="1:34" ht="15.75" customHeight="1" x14ac:dyDescent="0.3">
      <c r="A898" s="5"/>
      <c r="B898" s="5"/>
      <c r="C898" s="5"/>
      <c r="D898" s="5"/>
      <c r="E898" s="5"/>
      <c r="F898" s="5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8"/>
      <c r="AF898" s="8"/>
      <c r="AG898" s="8"/>
      <c r="AH898" s="8"/>
    </row>
    <row r="899" spans="1:34" ht="15.75" customHeight="1" x14ac:dyDescent="0.3">
      <c r="A899" s="5"/>
      <c r="B899" s="5"/>
      <c r="C899" s="5"/>
      <c r="D899" s="5"/>
      <c r="E899" s="5"/>
      <c r="F899" s="5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8"/>
      <c r="AF899" s="8"/>
      <c r="AG899" s="8"/>
      <c r="AH899" s="8"/>
    </row>
    <row r="900" spans="1:34" ht="15.75" customHeight="1" x14ac:dyDescent="0.3">
      <c r="A900" s="5"/>
      <c r="B900" s="5"/>
      <c r="C900" s="5"/>
      <c r="D900" s="5"/>
      <c r="E900" s="5"/>
      <c r="F900" s="5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8"/>
      <c r="AF900" s="8"/>
      <c r="AG900" s="8"/>
      <c r="AH900" s="8"/>
    </row>
    <row r="901" spans="1:34" ht="15.75" customHeight="1" x14ac:dyDescent="0.3">
      <c r="A901" s="5"/>
      <c r="B901" s="5"/>
      <c r="C901" s="5"/>
      <c r="D901" s="5"/>
      <c r="E901" s="5"/>
      <c r="F901" s="5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8"/>
      <c r="AF901" s="8"/>
      <c r="AG901" s="8"/>
      <c r="AH901" s="8"/>
    </row>
    <row r="902" spans="1:34" ht="15.75" customHeight="1" x14ac:dyDescent="0.3">
      <c r="A902" s="5"/>
      <c r="B902" s="5"/>
      <c r="C902" s="5"/>
      <c r="D902" s="5"/>
      <c r="E902" s="5"/>
      <c r="F902" s="5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8"/>
      <c r="AF902" s="8"/>
      <c r="AG902" s="8"/>
      <c r="AH902" s="8"/>
    </row>
    <row r="903" spans="1:34" ht="15.75" customHeight="1" x14ac:dyDescent="0.3">
      <c r="A903" s="5"/>
      <c r="B903" s="5"/>
      <c r="C903" s="5"/>
      <c r="D903" s="5"/>
      <c r="E903" s="5"/>
      <c r="F903" s="5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8"/>
      <c r="AF903" s="8"/>
      <c r="AG903" s="8"/>
      <c r="AH903" s="8"/>
    </row>
    <row r="904" spans="1:34" ht="15.75" customHeight="1" x14ac:dyDescent="0.3">
      <c r="A904" s="5"/>
      <c r="B904" s="5"/>
      <c r="C904" s="5"/>
      <c r="D904" s="5"/>
      <c r="E904" s="5"/>
      <c r="F904" s="5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8"/>
      <c r="AF904" s="8"/>
      <c r="AG904" s="8"/>
      <c r="AH904" s="8"/>
    </row>
    <row r="905" spans="1:34" ht="15.75" customHeight="1" x14ac:dyDescent="0.3">
      <c r="A905" s="5"/>
      <c r="B905" s="5"/>
      <c r="C905" s="5"/>
      <c r="D905" s="5"/>
      <c r="E905" s="5"/>
      <c r="F905" s="5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8"/>
      <c r="AF905" s="8"/>
      <c r="AG905" s="8"/>
      <c r="AH905" s="8"/>
    </row>
    <row r="906" spans="1:34" ht="15.75" customHeight="1" x14ac:dyDescent="0.3">
      <c r="A906" s="5"/>
      <c r="B906" s="5"/>
      <c r="C906" s="5"/>
      <c r="D906" s="5"/>
      <c r="E906" s="5"/>
      <c r="F906" s="5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8"/>
      <c r="AF906" s="8"/>
      <c r="AG906" s="8"/>
      <c r="AH906" s="8"/>
    </row>
    <row r="907" spans="1:34" ht="15.75" customHeight="1" x14ac:dyDescent="0.3">
      <c r="A907" s="5"/>
      <c r="B907" s="5"/>
      <c r="C907" s="5"/>
      <c r="D907" s="5"/>
      <c r="E907" s="5"/>
      <c r="F907" s="5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8"/>
      <c r="AF907" s="8"/>
      <c r="AG907" s="8"/>
      <c r="AH907" s="8"/>
    </row>
    <row r="908" spans="1:34" ht="15.75" customHeight="1" x14ac:dyDescent="0.3">
      <c r="A908" s="5"/>
      <c r="B908" s="5"/>
      <c r="C908" s="5"/>
      <c r="D908" s="5"/>
      <c r="E908" s="5"/>
      <c r="F908" s="5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8"/>
      <c r="AF908" s="8"/>
      <c r="AG908" s="8"/>
      <c r="AH908" s="8"/>
    </row>
    <row r="909" spans="1:34" ht="15.75" customHeight="1" x14ac:dyDescent="0.3">
      <c r="A909" s="5"/>
      <c r="B909" s="5"/>
      <c r="C909" s="5"/>
      <c r="D909" s="5"/>
      <c r="E909" s="5"/>
      <c r="F909" s="5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8"/>
      <c r="AF909" s="8"/>
      <c r="AG909" s="8"/>
      <c r="AH909" s="8"/>
    </row>
    <row r="910" spans="1:34" ht="15.75" customHeight="1" x14ac:dyDescent="0.3">
      <c r="A910" s="5"/>
      <c r="B910" s="5"/>
      <c r="C910" s="5"/>
      <c r="D910" s="5"/>
      <c r="E910" s="5"/>
      <c r="F910" s="5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8"/>
      <c r="AF910" s="8"/>
      <c r="AG910" s="8"/>
      <c r="AH910" s="8"/>
    </row>
    <row r="911" spans="1:34" ht="15.6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</row>
    <row r="912" spans="1:34" ht="15.6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</row>
    <row r="913" spans="1:34" ht="15.6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</row>
    <row r="914" spans="1:34" ht="15.6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</row>
    <row r="915" spans="1:34" ht="15.6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</row>
    <row r="916" spans="1:34" ht="15.6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</row>
    <row r="917" spans="1:34" ht="15.6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</row>
    <row r="918" spans="1:34" ht="15.6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</row>
    <row r="919" spans="1:34" ht="15.6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</row>
    <row r="920" spans="1:34" ht="15.6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</row>
    <row r="921" spans="1:34" ht="15.6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</row>
    <row r="922" spans="1:34" ht="15.6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</row>
    <row r="923" spans="1:34" ht="15.6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</row>
    <row r="924" spans="1:34" ht="15.6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</row>
    <row r="925" spans="1:34" ht="15.6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</row>
    <row r="926" spans="1:34" ht="15.6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</row>
    <row r="927" spans="1:34" ht="15.6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</row>
    <row r="928" spans="1:34" ht="15.6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</row>
    <row r="929" spans="1:34" ht="15.6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</row>
    <row r="930" spans="1:34" ht="15.6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</row>
    <row r="931" spans="1:34" ht="15.6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</row>
    <row r="932" spans="1:34" ht="15.6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</row>
    <row r="933" spans="1:34" ht="15.6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</row>
    <row r="934" spans="1:34" ht="15.6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</row>
    <row r="935" spans="1:34" ht="15.6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</row>
    <row r="936" spans="1:34" ht="15.6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</row>
    <row r="937" spans="1:34" ht="15.6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</row>
    <row r="938" spans="1:34" ht="15.6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</row>
    <row r="939" spans="1:34" ht="15.6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</row>
    <row r="940" spans="1:34" ht="15.6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</row>
    <row r="941" spans="1:34" ht="15.6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</row>
    <row r="942" spans="1:34" ht="15.6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</row>
    <row r="943" spans="1:34" ht="15.6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</row>
    <row r="944" spans="1:34" ht="15.6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</row>
    <row r="945" spans="1:34" ht="15.6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</row>
    <row r="946" spans="1:34" ht="15.6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</row>
    <row r="947" spans="1:34" ht="15.6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</row>
    <row r="948" spans="1:34" ht="15.6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</row>
    <row r="949" spans="1:34" ht="15.6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</row>
    <row r="950" spans="1:34" ht="15.6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</row>
    <row r="951" spans="1:34" ht="15.6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</row>
    <row r="952" spans="1:34" ht="15.6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</row>
    <row r="953" spans="1:34" ht="15.6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</row>
    <row r="954" spans="1:34" ht="15.6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</row>
    <row r="955" spans="1:34" ht="15.6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</row>
    <row r="956" spans="1:34" ht="15.6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</row>
    <row r="957" spans="1:34" ht="15.6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</row>
    <row r="958" spans="1:34" ht="15.6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</row>
    <row r="959" spans="1:34" ht="15.6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</row>
    <row r="960" spans="1:34" ht="15.6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</row>
    <row r="961" spans="1:34" ht="15.6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</row>
    <row r="962" spans="1:34" ht="15.6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</row>
    <row r="963" spans="1:34" ht="15.6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</row>
    <row r="964" spans="1:34" ht="15.6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</row>
    <row r="965" spans="1:34" ht="15.6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</row>
    <row r="966" spans="1:34" ht="15.6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</row>
    <row r="967" spans="1:34" ht="15.6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</row>
    <row r="968" spans="1:34" ht="15.6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</row>
    <row r="969" spans="1:34" ht="15.6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</row>
    <row r="970" spans="1:34" ht="15.6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</row>
    <row r="971" spans="1:34" ht="15.6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</row>
    <row r="972" spans="1:34" ht="15.6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</row>
    <row r="973" spans="1:34" ht="15.6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</row>
    <row r="974" spans="1:34" ht="15.6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</row>
    <row r="975" spans="1:34" ht="15.6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</row>
    <row r="976" spans="1:34" ht="15.6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</row>
    <row r="977" spans="1:34" ht="15.6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</row>
    <row r="978" spans="1:34" ht="15.6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</row>
    <row r="979" spans="1:34" ht="15.6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</row>
    <row r="980" spans="1:34" ht="15.6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</row>
    <row r="981" spans="1:34" ht="15.6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</row>
    <row r="982" spans="1:34" ht="15.6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</row>
    <row r="983" spans="1:34" ht="15.6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</row>
    <row r="984" spans="1:34" ht="15.6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</row>
    <row r="985" spans="1:34" ht="15.6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</row>
    <row r="986" spans="1:34" ht="15.6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</row>
    <row r="987" spans="1:34" ht="15.6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</row>
    <row r="988" spans="1:34" ht="15.6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</row>
    <row r="989" spans="1:34" ht="15.6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</row>
    <row r="990" spans="1:34" ht="15.6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</row>
    <row r="991" spans="1:34" ht="15.6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</row>
    <row r="992" spans="1:34" ht="15.6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</row>
  </sheetData>
  <mergeCells count="43">
    <mergeCell ref="H3:I4"/>
    <mergeCell ref="H13:I14"/>
    <mergeCell ref="H2:I2"/>
    <mergeCell ref="A1:F1"/>
    <mergeCell ref="A2:F3"/>
    <mergeCell ref="A4:C4"/>
    <mergeCell ref="A6:B6"/>
    <mergeCell ref="A7:B7"/>
    <mergeCell ref="A40:E40"/>
    <mergeCell ref="A31:B31"/>
    <mergeCell ref="A32:B32"/>
    <mergeCell ref="A33:B33"/>
    <mergeCell ref="A34:B34"/>
    <mergeCell ref="A35:B35"/>
    <mergeCell ref="A36:B36"/>
    <mergeCell ref="A37:E37"/>
    <mergeCell ref="A27:D27"/>
    <mergeCell ref="A28:D28"/>
    <mergeCell ref="A29:D29"/>
    <mergeCell ref="A38:E38"/>
    <mergeCell ref="A39:E39"/>
    <mergeCell ref="A22:E22"/>
    <mergeCell ref="A23:F23"/>
    <mergeCell ref="A24:F24"/>
    <mergeCell ref="A25:D25"/>
    <mergeCell ref="A26:D26"/>
    <mergeCell ref="A17:B17"/>
    <mergeCell ref="A18:B18"/>
    <mergeCell ref="A19:B19"/>
    <mergeCell ref="A20:B20"/>
    <mergeCell ref="A21:B21"/>
    <mergeCell ref="A13:D13"/>
    <mergeCell ref="A14:E14"/>
    <mergeCell ref="A15:F15"/>
    <mergeCell ref="E16:F16"/>
    <mergeCell ref="A16:D16"/>
    <mergeCell ref="H6:I7"/>
    <mergeCell ref="H9:I10"/>
    <mergeCell ref="A10:B10"/>
    <mergeCell ref="A11:B11"/>
    <mergeCell ref="A12:B12"/>
    <mergeCell ref="A8:B8"/>
    <mergeCell ref="A9:B9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TablaP_PS_SS!$C$5:$C$9</xm:f>
          </x14:formula1>
          <xm:sqref>C20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9921875" defaultRowHeight="15" customHeight="1" x14ac:dyDescent="0.3"/>
  <cols>
    <col min="1" max="1" width="4.296875" customWidth="1"/>
    <col min="2" max="2" width="18.296875" customWidth="1"/>
    <col min="3" max="3" width="16.19921875" customWidth="1"/>
    <col min="4" max="7" width="21.3984375" customWidth="1"/>
    <col min="8" max="26" width="10.398437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8">
        <v>2006</v>
      </c>
      <c r="B2" s="10">
        <v>408000</v>
      </c>
      <c r="C2" s="10">
        <v>47700</v>
      </c>
      <c r="D2" s="12">
        <v>6.9000000000000006E-2</v>
      </c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3">
      <c r="A3" s="8">
        <v>2007</v>
      </c>
      <c r="B3" s="10">
        <v>433700</v>
      </c>
      <c r="C3" s="10">
        <v>50800</v>
      </c>
      <c r="D3" s="12">
        <v>6.3E-2</v>
      </c>
      <c r="E3" s="12"/>
      <c r="F3" s="12"/>
      <c r="G3" s="1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3">
      <c r="A4" s="8">
        <v>2008</v>
      </c>
      <c r="B4" s="10">
        <v>461500</v>
      </c>
      <c r="C4" s="10">
        <v>55000</v>
      </c>
      <c r="D4" s="12">
        <v>6.4000000000000001E-2</v>
      </c>
      <c r="E4" s="12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3">
      <c r="A5" s="8">
        <v>2009</v>
      </c>
      <c r="B5" s="10">
        <v>496900</v>
      </c>
      <c r="C5" s="10">
        <v>59300</v>
      </c>
      <c r="D5" s="12">
        <v>7.6999999999999999E-2</v>
      </c>
      <c r="E5" s="12"/>
      <c r="F5" s="12"/>
      <c r="G5" s="12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3">
      <c r="A6" s="8">
        <v>2010</v>
      </c>
      <c r="B6" s="10">
        <v>515000</v>
      </c>
      <c r="C6" s="10">
        <v>61500</v>
      </c>
      <c r="D6" s="12">
        <v>3.5999999999999997E-2</v>
      </c>
      <c r="E6" s="12"/>
      <c r="F6" s="12"/>
      <c r="G6" s="12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">
      <c r="A7" s="8">
        <v>2011</v>
      </c>
      <c r="B7" s="10">
        <v>535600</v>
      </c>
      <c r="C7" s="10">
        <v>63600</v>
      </c>
      <c r="D7" s="12">
        <v>0.04</v>
      </c>
      <c r="E7" s="12"/>
      <c r="F7" s="12"/>
      <c r="G7" s="1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3">
      <c r="A8" s="8">
        <v>2012</v>
      </c>
      <c r="B8" s="10">
        <v>566700</v>
      </c>
      <c r="C8" s="10">
        <v>67800</v>
      </c>
      <c r="D8" s="12">
        <v>5.8000000000000003E-2</v>
      </c>
      <c r="E8" s="12"/>
      <c r="F8" s="12"/>
      <c r="G8" s="12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3">
      <c r="A9" s="8">
        <v>2013</v>
      </c>
      <c r="B9" s="10">
        <v>589500</v>
      </c>
      <c r="C9" s="10">
        <v>70500</v>
      </c>
      <c r="D9" s="12">
        <v>4.02E-2</v>
      </c>
      <c r="E9" s="12"/>
      <c r="F9" s="12"/>
      <c r="G9" s="1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3">
      <c r="A10" s="8">
        <v>2014</v>
      </c>
      <c r="B10" s="10">
        <v>616000</v>
      </c>
      <c r="C10" s="10">
        <v>72000</v>
      </c>
      <c r="D10" s="12">
        <v>4.4999999999999998E-2</v>
      </c>
      <c r="E10" s="12">
        <v>3.6600000000000001E-2</v>
      </c>
      <c r="F10" s="12"/>
      <c r="G10" s="12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3">
      <c r="A11" s="8">
        <v>2015</v>
      </c>
      <c r="B11" s="10">
        <v>644350</v>
      </c>
      <c r="C11" s="10">
        <v>74000</v>
      </c>
      <c r="D11" s="12">
        <v>4.5999999999999999E-2</v>
      </c>
      <c r="E11" s="12">
        <v>6.7699999999999996E-2</v>
      </c>
      <c r="F11" s="12"/>
      <c r="G11" s="12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3">
      <c r="A12" s="8">
        <v>2016</v>
      </c>
      <c r="B12" s="10">
        <v>689455</v>
      </c>
      <c r="C12" s="10">
        <v>77700</v>
      </c>
      <c r="D12" s="12">
        <v>7.0000000000000007E-2</v>
      </c>
      <c r="E12" s="12">
        <v>5.7500000000000002E-2</v>
      </c>
      <c r="F12" s="12"/>
      <c r="G12" s="12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3">
      <c r="A13" s="8">
        <v>2017</v>
      </c>
      <c r="B13" s="10">
        <v>737717</v>
      </c>
      <c r="C13" s="10">
        <v>83140</v>
      </c>
      <c r="D13" s="12">
        <v>7.0000000000000007E-2</v>
      </c>
      <c r="E13" s="12">
        <v>4.0899999999999999E-2</v>
      </c>
      <c r="F13" s="12"/>
      <c r="G13" s="12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3">
      <c r="A14" s="8">
        <v>2018</v>
      </c>
      <c r="B14" s="10">
        <v>781242</v>
      </c>
      <c r="C14" s="10">
        <v>88211</v>
      </c>
      <c r="D14" s="12">
        <v>5.8999999999999997E-2</v>
      </c>
      <c r="E14" s="12">
        <v>3.1800000000000002E-2</v>
      </c>
      <c r="F14" s="12"/>
      <c r="G14" s="12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3">
      <c r="A15" s="8">
        <v>2019</v>
      </c>
      <c r="B15" s="10">
        <v>828116</v>
      </c>
      <c r="C15" s="10">
        <v>97032</v>
      </c>
      <c r="D15" s="12">
        <v>0.06</v>
      </c>
      <c r="E15" s="12">
        <v>3.7999999999999999E-2</v>
      </c>
      <c r="F15" s="12"/>
      <c r="G15" s="12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3">
      <c r="A16" s="8">
        <v>2020</v>
      </c>
      <c r="B16" s="10">
        <v>877803</v>
      </c>
      <c r="C16" s="10">
        <v>102854</v>
      </c>
      <c r="D16" s="12">
        <v>0.06</v>
      </c>
      <c r="E16" s="12">
        <v>1.61E-2</v>
      </c>
      <c r="F16" s="12"/>
      <c r="G16" s="12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3">
      <c r="A17" s="8">
        <v>2021</v>
      </c>
      <c r="B17" s="10">
        <v>908526</v>
      </c>
      <c r="C17" s="10">
        <v>106454</v>
      </c>
      <c r="D17" s="12">
        <v>3.5000000000000003E-2</v>
      </c>
      <c r="E17" s="12">
        <v>5.62E-2</v>
      </c>
      <c r="F17" s="12"/>
      <c r="G17" s="12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">
      <c r="A18" s="8">
        <v>2022</v>
      </c>
      <c r="B18" s="10">
        <v>1000000</v>
      </c>
      <c r="C18" s="10">
        <v>117172</v>
      </c>
      <c r="D18" s="12">
        <v>0.1007</v>
      </c>
      <c r="E18" s="12">
        <v>0.13120000000000001</v>
      </c>
      <c r="F18" s="12"/>
      <c r="G18" s="12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3">
      <c r="A19" s="8">
        <v>2023</v>
      </c>
      <c r="B19" s="10">
        <v>1160000</v>
      </c>
      <c r="C19" s="10">
        <v>140606</v>
      </c>
      <c r="D19" s="12">
        <v>0.16</v>
      </c>
      <c r="E19" s="12">
        <v>9.2799999999999994E-2</v>
      </c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3">
      <c r="A20" s="8">
        <v>2024</v>
      </c>
      <c r="B20" s="10">
        <v>1300000</v>
      </c>
      <c r="C20" s="10">
        <v>162000</v>
      </c>
      <c r="D20" s="12">
        <v>0.12</v>
      </c>
      <c r="E20" s="12">
        <v>5.1999999999999998E-2</v>
      </c>
      <c r="F20" s="12"/>
      <c r="G20" s="1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3">
      <c r="A21" s="8">
        <v>2025</v>
      </c>
      <c r="B21" s="10">
        <v>1423500</v>
      </c>
      <c r="C21" s="10">
        <v>200000</v>
      </c>
      <c r="D21" s="12">
        <v>9.5299999999999996E-2</v>
      </c>
      <c r="E21" s="12"/>
      <c r="F21" s="10">
        <v>49799</v>
      </c>
      <c r="G21" s="12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">
      <c r="A22" s="8">
        <v>2026</v>
      </c>
      <c r="B22" s="10">
        <v>1750905</v>
      </c>
      <c r="C22" s="24">
        <v>249095</v>
      </c>
      <c r="D22" s="12"/>
      <c r="E22" s="12"/>
      <c r="F22" s="10"/>
      <c r="G22" s="12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3">
      <c r="A23" s="8"/>
      <c r="B23" s="26"/>
      <c r="C23" s="27"/>
      <c r="D23" s="12"/>
      <c r="E23" s="12"/>
      <c r="F23" s="12"/>
      <c r="G23" s="12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3">
      <c r="A24" s="8"/>
      <c r="B24" s="26"/>
      <c r="C24" s="27"/>
      <c r="D24" s="12"/>
      <c r="E24" s="12"/>
      <c r="F24" s="12"/>
      <c r="G24" s="12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3">
      <c r="A25" s="8"/>
      <c r="B25" s="26"/>
      <c r="C25" s="2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baseColWidth="10" defaultColWidth="11.19921875" defaultRowHeight="15" customHeight="1" x14ac:dyDescent="0.3"/>
  <cols>
    <col min="1" max="1" width="19" customWidth="1"/>
    <col min="2" max="2" width="15.796875" customWidth="1"/>
    <col min="3" max="26" width="10.59765625" customWidth="1"/>
  </cols>
  <sheetData>
    <row r="1" spans="1:4" ht="15.75" customHeight="1" x14ac:dyDescent="0.3">
      <c r="A1" s="3" t="s">
        <v>7</v>
      </c>
      <c r="B1" s="3"/>
    </row>
    <row r="2" spans="1:4" ht="15.75" customHeight="1" x14ac:dyDescent="0.3">
      <c r="C2" s="6" t="s">
        <v>8</v>
      </c>
      <c r="D2" s="6" t="s">
        <v>9</v>
      </c>
    </row>
    <row r="3" spans="1:4" ht="15.75" customHeight="1" x14ac:dyDescent="0.3">
      <c r="A3" s="3" t="s">
        <v>10</v>
      </c>
      <c r="B3" s="7">
        <v>0.125</v>
      </c>
      <c r="C3" s="9">
        <v>8.5000000000000006E-2</v>
      </c>
      <c r="D3" s="11">
        <v>0.04</v>
      </c>
    </row>
    <row r="4" spans="1:4" ht="15.75" customHeight="1" x14ac:dyDescent="0.3">
      <c r="A4" s="3" t="s">
        <v>11</v>
      </c>
      <c r="B4" s="11">
        <v>0.16</v>
      </c>
      <c r="C4" s="9">
        <v>0.12</v>
      </c>
      <c r="D4" s="11">
        <v>0.04</v>
      </c>
    </row>
    <row r="5" spans="1:4" ht="15.75" customHeight="1" x14ac:dyDescent="0.3">
      <c r="A5" s="111" t="s">
        <v>13</v>
      </c>
      <c r="B5" s="13" t="s">
        <v>14</v>
      </c>
      <c r="C5" s="9">
        <v>5.2199999999999998E-3</v>
      </c>
    </row>
    <row r="6" spans="1:4" ht="15.75" customHeight="1" x14ac:dyDescent="0.3">
      <c r="A6" s="68"/>
      <c r="B6" s="13" t="s">
        <v>15</v>
      </c>
      <c r="C6" s="9">
        <v>1.044E-2</v>
      </c>
    </row>
    <row r="7" spans="1:4" ht="15.75" customHeight="1" x14ac:dyDescent="0.3">
      <c r="A7" s="68"/>
      <c r="B7" s="13" t="s">
        <v>17</v>
      </c>
      <c r="C7" s="9">
        <v>2.436E-2</v>
      </c>
    </row>
    <row r="8" spans="1:4" ht="15.75" customHeight="1" x14ac:dyDescent="0.3">
      <c r="A8" s="68"/>
      <c r="B8" s="13" t="s">
        <v>18</v>
      </c>
      <c r="C8" s="9">
        <v>4.3499999999999997E-2</v>
      </c>
    </row>
    <row r="9" spans="1:4" ht="15.75" customHeight="1" x14ac:dyDescent="0.3">
      <c r="A9" s="68"/>
      <c r="B9" s="13" t="s">
        <v>19</v>
      </c>
      <c r="C9" s="9">
        <v>6.9599999999999995E-2</v>
      </c>
    </row>
    <row r="10" spans="1:4" ht="15.75" customHeight="1" x14ac:dyDescent="0.3">
      <c r="C10" s="9"/>
    </row>
    <row r="11" spans="1:4" ht="15.75" customHeight="1" x14ac:dyDescent="0.3">
      <c r="A11" s="3" t="s">
        <v>20</v>
      </c>
      <c r="B11" s="13"/>
      <c r="C11" s="9"/>
    </row>
    <row r="12" spans="1:4" ht="15.75" customHeight="1" x14ac:dyDescent="0.3">
      <c r="C12" s="9"/>
    </row>
    <row r="13" spans="1:4" ht="15.75" customHeight="1" x14ac:dyDescent="0.3">
      <c r="B13" s="13"/>
      <c r="C13" s="9"/>
    </row>
    <row r="14" spans="1:4" ht="15.75" customHeight="1" x14ac:dyDescent="0.3">
      <c r="C14" s="9"/>
    </row>
    <row r="15" spans="1:4" ht="15.75" customHeight="1" x14ac:dyDescent="0.3">
      <c r="C15" s="9"/>
    </row>
    <row r="16" spans="1:4" ht="15.75" customHeight="1" x14ac:dyDescent="0.3">
      <c r="C16" s="9"/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5:A9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252A1EF3BD024F856B47B579AB5244" ma:contentTypeVersion="12" ma:contentTypeDescription="Crear nuevo documento." ma:contentTypeScope="" ma:versionID="32d0e18b85ac20c34eab62df21c0cf58">
  <xsd:schema xmlns:xsd="http://www.w3.org/2001/XMLSchema" xmlns:xs="http://www.w3.org/2001/XMLSchema" xmlns:p="http://schemas.microsoft.com/office/2006/metadata/properties" xmlns:ns2="42760c81-fd8e-4d59-8953-7cdb9f38b14f" xmlns:ns3="67a0edcd-0de5-43ed-8c27-e32f38a00c91" targetNamespace="http://schemas.microsoft.com/office/2006/metadata/properties" ma:root="true" ma:fieldsID="cc2c149e99f10870fd5bc3964e5386d3" ns2:_="" ns3:_="">
    <xsd:import namespace="42760c81-fd8e-4d59-8953-7cdb9f38b14f"/>
    <xsd:import namespace="67a0edcd-0de5-43ed-8c27-e32f38a00c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60c81-fd8e-4d59-8953-7cdb9f38b1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0edcd-0de5-43ed-8c27-e32f38a00c9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a3f4dd0-997b-4bf3-ab2c-d58d0ea4cbc8}" ma:internalName="TaxCatchAll" ma:showField="CatchAllData" ma:web="67a0edcd-0de5-43ed-8c27-e32f38a00c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760c81-fd8e-4d59-8953-7cdb9f38b14f">
      <Terms xmlns="http://schemas.microsoft.com/office/infopath/2007/PartnerControls"/>
    </lcf76f155ced4ddcb4097134ff3c332f>
    <TaxCatchAll xmlns="67a0edcd-0de5-43ed-8c27-e32f38a00c91" xsi:nil="true"/>
  </documentManagement>
</p:properties>
</file>

<file path=customXml/itemProps1.xml><?xml version="1.0" encoding="utf-8"?>
<ds:datastoreItem xmlns:ds="http://schemas.openxmlformats.org/officeDocument/2006/customXml" ds:itemID="{BDF5FDC3-B89A-4B70-A5AC-FDEBF2F6A582}"/>
</file>

<file path=customXml/itemProps2.xml><?xml version="1.0" encoding="utf-8"?>
<ds:datastoreItem xmlns:ds="http://schemas.openxmlformats.org/officeDocument/2006/customXml" ds:itemID="{C3E0429D-3A19-4F8E-9E84-ABC3BCF6A18D}"/>
</file>

<file path=customXml/itemProps3.xml><?xml version="1.0" encoding="utf-8"?>
<ds:datastoreItem xmlns:ds="http://schemas.openxmlformats.org/officeDocument/2006/customXml" ds:itemID="{7517BAE7-B71D-4C44-9996-0F73323469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CalculadoraSalarial</vt:lpstr>
      <vt:lpstr>HistorialSalarioMinimo</vt:lpstr>
      <vt:lpstr>TablaP_PS_SS</vt:lpstr>
      <vt:lpstr>RiesgosLaborales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Paola Tello Zambrano</cp:lastModifiedBy>
  <dcterms:created xsi:type="dcterms:W3CDTF">2018-01-18T20:09:46Z</dcterms:created>
  <dcterms:modified xsi:type="dcterms:W3CDTF">2026-07-29T14:58:20Z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0x01010005252A1EF3BD024F856B47B579AB5244</vt:lpwstr>
  </property>
</Properties>
</file>